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tenance" sheetId="1" r:id="rId4"/>
    <sheet state="visible" name="As on 31 Oct 25" sheetId="2" r:id="rId5"/>
    <sheet state="visible" name="Membership" sheetId="3" r:id="rId6"/>
    <sheet state="visible" name="Collection AND OTHER DEPOSITES " sheetId="4" r:id="rId7"/>
    <sheet state="visible" name="Transfer of Ownership" sheetId="5" r:id="rId8"/>
    <sheet state="visible" name="Maint Not Paid" sheetId="6" r:id="rId9"/>
  </sheets>
  <definedNames>
    <definedName hidden="1" localSheetId="0" name="_xlnm._FilterDatabase">Maintenance!$A$1:$U$262</definedName>
    <definedName hidden="1" localSheetId="3" name="_xlnm._FilterDatabase">'Collection AND OTHER DEPOSITES '!$A$1:$AC$263</definedName>
  </definedNames>
  <calcPr/>
  <extLst>
    <ext uri="GoogleSheetsCustomDataVersion2">
      <go:sheetsCustomData xmlns:go="http://customooxmlschemas.google.com/" r:id="rId10" roundtripDataChecksum="KklEKIvyDqk/OCNhovwTdc/5HNO1dLUcVCK+hxYdsk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43">
      <text>
        <t xml:space="preserve">======
ID#AAABwHFAN4I
Naman Homes Resident Welfare Society    (2025-11-14 03:32:11)
BY SISL</t>
      </text>
    </comment>
  </commentList>
  <extLst>
    <ext uri="GoogleSheetsCustomDataVersion2">
      <go:sheetsCustomData xmlns:go="http://customooxmlschemas.google.com/" r:id="rId1" roundtripDataSignature="AMtx7mjtS4HVM/X98rWE3meh2zm+dBkHFA=="/>
    </ext>
  </extLst>
</comments>
</file>

<file path=xl/sharedStrings.xml><?xml version="1.0" encoding="utf-8"?>
<sst xmlns="http://schemas.openxmlformats.org/spreadsheetml/2006/main" count="2403" uniqueCount="631">
  <si>
    <t>Maint</t>
  </si>
  <si>
    <t>IFMS</t>
  </si>
  <si>
    <t>Ser No.</t>
  </si>
  <si>
    <t>Flat No.</t>
  </si>
  <si>
    <t>Owner Name</t>
  </si>
  <si>
    <t>Maintenance 2025-26</t>
  </si>
  <si>
    <t>Paid for Months</t>
  </si>
  <si>
    <t>Owner's Due in Months</t>
  </si>
  <si>
    <t>Remarks</t>
  </si>
  <si>
    <t>Last Paid to company</t>
  </si>
  <si>
    <t>Basic Dt</t>
  </si>
  <si>
    <t>Effecting Date for Owners</t>
  </si>
  <si>
    <t>End Date</t>
  </si>
  <si>
    <t>Total Due on Owners</t>
  </si>
  <si>
    <t>Exemption</t>
  </si>
  <si>
    <t>Owner Liab.</t>
  </si>
  <si>
    <t>SISL Liability</t>
  </si>
  <si>
    <t>SISL Money Due</t>
  </si>
  <si>
    <t>A</t>
  </si>
  <si>
    <t>A101</t>
  </si>
  <si>
    <t>Jameel Akhtar</t>
  </si>
  <si>
    <t>A102</t>
  </si>
  <si>
    <t>Ms. Sarita Rai</t>
  </si>
  <si>
    <t>A103</t>
  </si>
  <si>
    <t>Mrs. Asha Pathak</t>
  </si>
  <si>
    <t>A104</t>
  </si>
  <si>
    <t>Ms. Rashmi Singh</t>
  </si>
  <si>
    <t>A201</t>
  </si>
  <si>
    <t>Mr. Satvinder Singh</t>
  </si>
  <si>
    <t>A202</t>
  </si>
  <si>
    <t>Mr. Satyendra Mishra</t>
  </si>
  <si>
    <t>A203</t>
  </si>
  <si>
    <t>Mr. Zeeshan Abdul Hannan</t>
  </si>
  <si>
    <t>A204</t>
  </si>
  <si>
    <t>Mr. Shahniyaz Ahmad</t>
  </si>
  <si>
    <t>A301</t>
  </si>
  <si>
    <t>Mr. Samrendra Nath Nagesh</t>
  </si>
  <si>
    <t>A302</t>
  </si>
  <si>
    <t>Mr.Rashmi Upadhyay</t>
  </si>
  <si>
    <t>A303</t>
  </si>
  <si>
    <t xml:space="preserve">Mr.  Amod  Garg </t>
  </si>
  <si>
    <t>A304</t>
  </si>
  <si>
    <t>Mr. Chandra Prakash</t>
  </si>
  <si>
    <t>A401</t>
  </si>
  <si>
    <t>Mr Anup Kumar Pandey</t>
  </si>
  <si>
    <t>A402</t>
  </si>
  <si>
    <t>Mrs Saomya Pandey</t>
  </si>
  <si>
    <t>A403</t>
  </si>
  <si>
    <t>Mr. Satish Kumar Tripathi</t>
  </si>
  <si>
    <t>A404</t>
  </si>
  <si>
    <t>Mr. Pawan Kumar Rathore</t>
  </si>
  <si>
    <t>A501</t>
  </si>
  <si>
    <t>Mrs Charu Kranti</t>
  </si>
  <si>
    <t>A502</t>
  </si>
  <si>
    <t>Mr. Kaushal Srivastava</t>
  </si>
  <si>
    <t>A503</t>
  </si>
  <si>
    <t>Mrs.  Geeta  Singh</t>
  </si>
  <si>
    <t>A504</t>
  </si>
  <si>
    <t>Mr. Sushil Kumar Shukla</t>
  </si>
  <si>
    <t>A601</t>
  </si>
  <si>
    <t>Ms. Zeba Afzal</t>
  </si>
  <si>
    <t>A602</t>
  </si>
  <si>
    <t>Mr. Anurag Sharma</t>
  </si>
  <si>
    <t>A603</t>
  </si>
  <si>
    <t>Mr Sanjay Singh</t>
  </si>
  <si>
    <t>A604</t>
  </si>
  <si>
    <t>Mr. Nisant Amisht</t>
  </si>
  <si>
    <t>A701</t>
  </si>
  <si>
    <t>Ms. Anupama Sachan</t>
  </si>
  <si>
    <t>A702</t>
  </si>
  <si>
    <t>Mr. Najmi Haider Jafri</t>
  </si>
  <si>
    <t>A703</t>
  </si>
  <si>
    <t>Mr. Vinod Kumar Singh</t>
  </si>
  <si>
    <t>A704</t>
  </si>
  <si>
    <t>Ms. Shashi Kaushal</t>
  </si>
  <si>
    <t>A801</t>
  </si>
  <si>
    <t>Mr. Ankit Srivastava</t>
  </si>
  <si>
    <t>A802</t>
  </si>
  <si>
    <t>Mr. Birendra Kumar Singh</t>
  </si>
  <si>
    <t>A803</t>
  </si>
  <si>
    <t>Mr. Gopalji Rai</t>
  </si>
  <si>
    <t>A804</t>
  </si>
  <si>
    <t>Mr. Ambuj Srivastava</t>
  </si>
  <si>
    <t>A901</t>
  </si>
  <si>
    <t>Mr Anil Kumar Jaiswal</t>
  </si>
  <si>
    <t>A902</t>
  </si>
  <si>
    <t>Dr. Baij Nath Gupta</t>
  </si>
  <si>
    <t>A903</t>
  </si>
  <si>
    <t>Dr. Shailendra Kaushal</t>
  </si>
  <si>
    <t>A904</t>
  </si>
  <si>
    <t>Mr. Saurabh Srivastava</t>
  </si>
  <si>
    <t>A1001</t>
  </si>
  <si>
    <t>Mr. Manjeet Singh Maken</t>
  </si>
  <si>
    <t>A1002</t>
  </si>
  <si>
    <t>Col (Dr.)  Arvind Nath Jha</t>
  </si>
  <si>
    <t>A1003</t>
  </si>
  <si>
    <t>Ms. Aradhana Singh</t>
  </si>
  <si>
    <t>A1004</t>
  </si>
  <si>
    <t>Mrs Anamika Saxena</t>
  </si>
  <si>
    <t>A1101</t>
  </si>
  <si>
    <t>Mr. Sanjay Kumar Rai</t>
  </si>
  <si>
    <t>A1102</t>
  </si>
  <si>
    <t>Mr. Manish Tiwari</t>
  </si>
  <si>
    <t>A1103</t>
  </si>
  <si>
    <t>Ms. Koel Hazra</t>
  </si>
  <si>
    <t>A1104</t>
  </si>
  <si>
    <t>Mr. Shoeb Alam</t>
  </si>
  <si>
    <t>B</t>
  </si>
  <si>
    <t>A1201</t>
  </si>
  <si>
    <t>Mr. Anil Kumar Srivastava</t>
  </si>
  <si>
    <t>A1202</t>
  </si>
  <si>
    <t>Mr. Saurabh Tripathi</t>
  </si>
  <si>
    <t>A1203</t>
  </si>
  <si>
    <t>Ms.   Neha   Srivastava</t>
  </si>
  <si>
    <t>A1204</t>
  </si>
  <si>
    <t>Mr Vivek Kumar</t>
  </si>
  <si>
    <t>D</t>
  </si>
  <si>
    <t>A1301</t>
  </si>
  <si>
    <t>Mr Ranjan Walia</t>
  </si>
  <si>
    <t>A1302</t>
  </si>
  <si>
    <t>Mr King Chaddha</t>
  </si>
  <si>
    <t>01.10.25</t>
  </si>
  <si>
    <t xml:space="preserve"> </t>
  </si>
  <si>
    <t>A1304</t>
  </si>
  <si>
    <t>B101</t>
  </si>
  <si>
    <t>Ms. Anukriti Shukla</t>
  </si>
  <si>
    <t>B102</t>
  </si>
  <si>
    <t>Mr Satyendra Nath Mishra</t>
  </si>
  <si>
    <t>B103</t>
  </si>
  <si>
    <t>B104</t>
  </si>
  <si>
    <t>Mr. Sayed Zafar Sayeed</t>
  </si>
  <si>
    <t>B105</t>
  </si>
  <si>
    <t>Mr. Harish Chandra Agarwal</t>
  </si>
  <si>
    <t>B106</t>
  </si>
  <si>
    <t>Mr. Manish Gupta</t>
  </si>
  <si>
    <t>B107</t>
  </si>
  <si>
    <t>Mr. Pankaj Singh</t>
  </si>
  <si>
    <t>B108</t>
  </si>
  <si>
    <t>Ms. Reeta</t>
  </si>
  <si>
    <t>B201</t>
  </si>
  <si>
    <t>Ms. Arti Yadav</t>
  </si>
  <si>
    <t>B202</t>
  </si>
  <si>
    <t>Mr. Sayed Ahmad Sayeed</t>
  </si>
  <si>
    <t>B203</t>
  </si>
  <si>
    <t>Mrs Sima Gupta</t>
  </si>
  <si>
    <t>B204</t>
  </si>
  <si>
    <t>B205</t>
  </si>
  <si>
    <t>Mr Rajendra Singh</t>
  </si>
  <si>
    <t>B206</t>
  </si>
  <si>
    <t>Ms. Manorama Yadav</t>
  </si>
  <si>
    <t>B207</t>
  </si>
  <si>
    <t>Mr Waquil Akhtar</t>
  </si>
  <si>
    <t>B208</t>
  </si>
  <si>
    <t>Ms. Priyanka</t>
  </si>
  <si>
    <t>B301</t>
  </si>
  <si>
    <t>Dr. Rajiv Kumar Yadav</t>
  </si>
  <si>
    <t>B302</t>
  </si>
  <si>
    <t>Mr Awadhesh Kumar Gupta</t>
  </si>
  <si>
    <t>B303</t>
  </si>
  <si>
    <t>Ms. Smita Kasaudhan</t>
  </si>
  <si>
    <t>B304</t>
  </si>
  <si>
    <t>Ms. Mamta Choudhary</t>
  </si>
  <si>
    <t>B305</t>
  </si>
  <si>
    <t>Ms. Kahkahshan Jabeen</t>
  </si>
  <si>
    <t>B306</t>
  </si>
  <si>
    <t>Mrs.  Rita  Mishra</t>
  </si>
  <si>
    <t>B307</t>
  </si>
  <si>
    <t>Mrs Ravinder Jeet Kaur</t>
  </si>
  <si>
    <t>Reg dt Dec 24</t>
  </si>
  <si>
    <t>B308</t>
  </si>
  <si>
    <t>Mr. Shyam Dwivedi</t>
  </si>
  <si>
    <t>B401</t>
  </si>
  <si>
    <t>Mr. Ravi Suryavanshi</t>
  </si>
  <si>
    <t>B402</t>
  </si>
  <si>
    <t>Mr Sarchil Kumar</t>
  </si>
  <si>
    <t>B403</t>
  </si>
  <si>
    <t>Mr. Omer Mustafa  Hasan</t>
  </si>
  <si>
    <t>B404</t>
  </si>
  <si>
    <t>B405</t>
  </si>
  <si>
    <t>Mr. Mohan Kumar</t>
  </si>
  <si>
    <t>B406</t>
  </si>
  <si>
    <t>Ms. Pratima Mishra</t>
  </si>
  <si>
    <t>B407</t>
  </si>
  <si>
    <t>Ms. Manisha Chaubey</t>
  </si>
  <si>
    <t>B408</t>
  </si>
  <si>
    <t>Mr. Vinay Kumar Srivastava</t>
  </si>
  <si>
    <t>B501</t>
  </si>
  <si>
    <t>Mrs Binita Singh</t>
  </si>
  <si>
    <t>B502</t>
  </si>
  <si>
    <t>Mrs Suneeta Devi</t>
  </si>
  <si>
    <t>B503</t>
  </si>
  <si>
    <t>Ms. Priyanka Singh</t>
  </si>
  <si>
    <t>B504</t>
  </si>
  <si>
    <t>Mr. Prakash Chandra</t>
  </si>
  <si>
    <t>B505</t>
  </si>
  <si>
    <t>B506</t>
  </si>
  <si>
    <t>Dr. Pankaj Shukla</t>
  </si>
  <si>
    <t>B507</t>
  </si>
  <si>
    <t>Mr. Chandra Shekhar Kumar</t>
  </si>
  <si>
    <t>B508</t>
  </si>
  <si>
    <t>Mr. Sudeep Kumar Tewari</t>
  </si>
  <si>
    <t>B601</t>
  </si>
  <si>
    <t>Ms. Shabana Jameel</t>
  </si>
  <si>
    <t>E</t>
  </si>
  <si>
    <t>B602</t>
  </si>
  <si>
    <t>Booked</t>
  </si>
  <si>
    <t>B603</t>
  </si>
  <si>
    <t>B604</t>
  </si>
  <si>
    <t>B605</t>
  </si>
  <si>
    <t>Mr. Brijendra Kumar</t>
  </si>
  <si>
    <t>B606</t>
  </si>
  <si>
    <t>Ms. Pooja Agarwal</t>
  </si>
  <si>
    <t>B607</t>
  </si>
  <si>
    <t>Mr. Imran Alam</t>
  </si>
  <si>
    <t>B608</t>
  </si>
  <si>
    <t>Mr Pankaj Singh</t>
  </si>
  <si>
    <t>B701</t>
  </si>
  <si>
    <t>Mr Rahul  Kesarwani</t>
  </si>
  <si>
    <t>B702</t>
  </si>
  <si>
    <t>Mr. Ashutosh Singh</t>
  </si>
  <si>
    <t>B703</t>
  </si>
  <si>
    <t>Dr. Nitya Nand Gopal</t>
  </si>
  <si>
    <t>B704</t>
  </si>
  <si>
    <t>B705</t>
  </si>
  <si>
    <t>Dr. Ekta Malhotra</t>
  </si>
  <si>
    <t>B706</t>
  </si>
  <si>
    <t xml:space="preserve">Mrs Sareeta Kumari </t>
  </si>
  <si>
    <t>B707</t>
  </si>
  <si>
    <t>Ms. Manisha</t>
  </si>
  <si>
    <t>B708</t>
  </si>
  <si>
    <t>Mr. Mohd Kashif Siddiqui</t>
  </si>
  <si>
    <t>B801</t>
  </si>
  <si>
    <t>Mr. Manoj Kumar Srivastava</t>
  </si>
  <si>
    <t>B802</t>
  </si>
  <si>
    <t>Mr.  Faizan  Ahmad</t>
  </si>
  <si>
    <t>B803</t>
  </si>
  <si>
    <t>Mr. Amrita Srivastava</t>
  </si>
  <si>
    <t>B804</t>
  </si>
  <si>
    <t>Ms. Babita Jaiswal</t>
  </si>
  <si>
    <t>B805</t>
  </si>
  <si>
    <t>Mr. Manish Kumar Singh</t>
  </si>
  <si>
    <t>B806</t>
  </si>
  <si>
    <t>Ms. Deepshikha Shrivas</t>
  </si>
  <si>
    <t>B807</t>
  </si>
  <si>
    <t>Mrs. Manju Agarwal</t>
  </si>
  <si>
    <t>B808</t>
  </si>
  <si>
    <t>B901</t>
  </si>
  <si>
    <t>Ms. Bhavna Chaurasia</t>
  </si>
  <si>
    <t>B902</t>
  </si>
  <si>
    <t>Sunil Kumar Srivastava</t>
  </si>
  <si>
    <t>B903</t>
  </si>
  <si>
    <t>B904</t>
  </si>
  <si>
    <t>Mr Vivek Chaudhari</t>
  </si>
  <si>
    <t>B905</t>
  </si>
  <si>
    <t>Mr Nishant Kulshreshtha</t>
  </si>
  <si>
    <t>B906</t>
  </si>
  <si>
    <t>Mr. Anand Malviya</t>
  </si>
  <si>
    <t>B907</t>
  </si>
  <si>
    <t>Mr. Sarvesh Kumar Mishra</t>
  </si>
  <si>
    <t>B908</t>
  </si>
  <si>
    <t>Mr. Mukesh Kumar</t>
  </si>
  <si>
    <t>B1001</t>
  </si>
  <si>
    <t>Dr.  Aditya Pratap Singh</t>
  </si>
  <si>
    <t>B1002</t>
  </si>
  <si>
    <t>Mr. Shantanu Gupta</t>
  </si>
  <si>
    <t>B1003</t>
  </si>
  <si>
    <t>B1004</t>
  </si>
  <si>
    <t>Mr. Ravi Shankar Singh</t>
  </si>
  <si>
    <t>purchase 09/5/25</t>
  </si>
  <si>
    <t>B1005</t>
  </si>
  <si>
    <t>Mr. Abu Nadim Khan</t>
  </si>
  <si>
    <t>B1006</t>
  </si>
  <si>
    <t>Mr. Ankur Arora</t>
  </si>
  <si>
    <t>B1007</t>
  </si>
  <si>
    <t>Mrs. Lovleen Kaur Bhogal</t>
  </si>
  <si>
    <t>B1008</t>
  </si>
  <si>
    <t>Mr. Jaspal Singh Bhatia</t>
  </si>
  <si>
    <t>B1101</t>
  </si>
  <si>
    <t>Mr Saqib Mizan</t>
  </si>
  <si>
    <t>B1102</t>
  </si>
  <si>
    <t>B1103</t>
  </si>
  <si>
    <t>Mr. Vimlesh Kumar Rai</t>
  </si>
  <si>
    <t>B1104</t>
  </si>
  <si>
    <t>B1105</t>
  </si>
  <si>
    <t>Md Zuhair</t>
  </si>
  <si>
    <t>B1106</t>
  </si>
  <si>
    <t>Mr. Vaibhav Hoshing</t>
  </si>
  <si>
    <t>B1107</t>
  </si>
  <si>
    <t>Ms. Rukhsana</t>
  </si>
  <si>
    <t>B1108</t>
  </si>
  <si>
    <t>Mr. Mohammad Arif</t>
  </si>
  <si>
    <t>B1201</t>
  </si>
  <si>
    <t>Mr Saif Farooqui</t>
  </si>
  <si>
    <t>B1202</t>
  </si>
  <si>
    <t>Mr Aswat Ahmad</t>
  </si>
  <si>
    <t>B1203</t>
  </si>
  <si>
    <t>B1204</t>
  </si>
  <si>
    <t>B1205</t>
  </si>
  <si>
    <t>B1206</t>
  </si>
  <si>
    <t>Mrs Ishita Verma</t>
  </si>
  <si>
    <t>B1207</t>
  </si>
  <si>
    <t>Mr Sunil Kumar Verma</t>
  </si>
  <si>
    <t>B1208</t>
  </si>
  <si>
    <t>Ms. Minu Jha</t>
  </si>
  <si>
    <t>C</t>
  </si>
  <si>
    <t>B1301</t>
  </si>
  <si>
    <t>Mrs Nidhi Jaiswal</t>
  </si>
  <si>
    <t>Cheque not cleared</t>
  </si>
  <si>
    <t>B1302</t>
  </si>
  <si>
    <t>B1303</t>
  </si>
  <si>
    <t>B1304</t>
  </si>
  <si>
    <t>B1305</t>
  </si>
  <si>
    <t>B1306</t>
  </si>
  <si>
    <t>Mrs Vandana Srivastava</t>
  </si>
  <si>
    <t>B1308</t>
  </si>
  <si>
    <t>C101</t>
  </si>
  <si>
    <t>Ms. Farha Ali Naqvi</t>
  </si>
  <si>
    <t>C102</t>
  </si>
  <si>
    <t>Mr. Himanshu Agrahari</t>
  </si>
  <si>
    <t>C103</t>
  </si>
  <si>
    <t>Md Salmaan/Sadia Fatima</t>
  </si>
  <si>
    <t>C104</t>
  </si>
  <si>
    <t>Mr. Bipin Kumar Tripathi</t>
  </si>
  <si>
    <t>C105</t>
  </si>
  <si>
    <t>Mr Harpit Singh</t>
  </si>
  <si>
    <t>C106</t>
  </si>
  <si>
    <t>Ms. Sudha Ganguly</t>
  </si>
  <si>
    <t>C107</t>
  </si>
  <si>
    <t>Mr.  Deepak  Agarwal</t>
  </si>
  <si>
    <t>C108</t>
  </si>
  <si>
    <t>Ms. Kanchan Agarwal</t>
  </si>
  <si>
    <t>C201</t>
  </si>
  <si>
    <t>Mr.  Mohammad  Sajid</t>
  </si>
  <si>
    <t>C202</t>
  </si>
  <si>
    <t>Ms. Rashmi Yadav</t>
  </si>
  <si>
    <t>C203</t>
  </si>
  <si>
    <t>Mr. Birendra Kumar Yadav</t>
  </si>
  <si>
    <t>C204</t>
  </si>
  <si>
    <t>Mrs, Rita Kesarwani</t>
  </si>
  <si>
    <t>C205</t>
  </si>
  <si>
    <t>Mr. Parikshit Singh</t>
  </si>
  <si>
    <t>C206</t>
  </si>
  <si>
    <t>Mr. Shailendra Ramsurat Mishra</t>
  </si>
  <si>
    <t>C207</t>
  </si>
  <si>
    <t>Dr. Niraj Kumar Singh</t>
  </si>
  <si>
    <t>C208</t>
  </si>
  <si>
    <t>Mr. Chandan Singh</t>
  </si>
  <si>
    <t>30 k paid by SISL</t>
  </si>
  <si>
    <t>C301</t>
  </si>
  <si>
    <t>Mrs. Farheen Imran</t>
  </si>
  <si>
    <t>C302</t>
  </si>
  <si>
    <t>C303</t>
  </si>
  <si>
    <t>Mr. Tarun Agarwal</t>
  </si>
  <si>
    <t>C304</t>
  </si>
  <si>
    <t>Mr. Deepak Kumar Agarwal</t>
  </si>
  <si>
    <t>C305</t>
  </si>
  <si>
    <t>Mr. Sushil Kumar</t>
  </si>
  <si>
    <t>C306</t>
  </si>
  <si>
    <t>Mr. Arvind Kumar Tiwari</t>
  </si>
  <si>
    <t>C307</t>
  </si>
  <si>
    <t>Mr. Ajeet Kumar Singh</t>
  </si>
  <si>
    <t>C308</t>
  </si>
  <si>
    <t>Mr. Shashi Bhushan Kunwar</t>
  </si>
  <si>
    <t>C401</t>
  </si>
  <si>
    <t xml:space="preserve">Dr. Eftkhar Ahmad </t>
  </si>
  <si>
    <t>C402</t>
  </si>
  <si>
    <t>Ms. Mantasha Bano</t>
  </si>
  <si>
    <t>C403</t>
  </si>
  <si>
    <t>Dr. Varsha Singh</t>
  </si>
  <si>
    <t>C404</t>
  </si>
  <si>
    <t>Mr. Amarish Kumar Pandey</t>
  </si>
  <si>
    <t>C405</t>
  </si>
  <si>
    <t>Mrs Swati Yadav</t>
  </si>
  <si>
    <t>C406</t>
  </si>
  <si>
    <t>Mr. Brijesh Singh Yadav</t>
  </si>
  <si>
    <t>C407</t>
  </si>
  <si>
    <t>Mr. Ashok Kumar</t>
  </si>
  <si>
    <t>C408</t>
  </si>
  <si>
    <t>Mr. Sandeep Singh Kushwaha</t>
  </si>
  <si>
    <t>C501</t>
  </si>
  <si>
    <t>Mr. Abdul Hai</t>
  </si>
  <si>
    <t>C502</t>
  </si>
  <si>
    <t>C503</t>
  </si>
  <si>
    <t>Ms. Karishma Rani Deepika</t>
  </si>
  <si>
    <t>C504</t>
  </si>
  <si>
    <t>Mr Rajbali Yadav</t>
  </si>
  <si>
    <t>C505</t>
  </si>
  <si>
    <t>Mr. Alok Kumar Gupta</t>
  </si>
  <si>
    <t>C506</t>
  </si>
  <si>
    <t>Mrs Gyanwati Mishra</t>
  </si>
  <si>
    <t>C507</t>
  </si>
  <si>
    <t>Mr. Neeraj Kumar Rai</t>
  </si>
  <si>
    <t>C508</t>
  </si>
  <si>
    <t>Mrs Sunita Pandey</t>
  </si>
  <si>
    <t>C601</t>
  </si>
  <si>
    <t>Mr. Mohd. Talib Ansari</t>
  </si>
  <si>
    <t>C602</t>
  </si>
  <si>
    <t>Mr. Manoj Kumar Mishra</t>
  </si>
  <si>
    <t>C603</t>
  </si>
  <si>
    <t>C604</t>
  </si>
  <si>
    <t>Mr. Nikhil Kumar Singh</t>
  </si>
  <si>
    <t>C605</t>
  </si>
  <si>
    <t>Mr Ansar Ahmad</t>
  </si>
  <si>
    <t>C606</t>
  </si>
  <si>
    <t>Mr. Sandeep Kumar Ojha</t>
  </si>
  <si>
    <t>C607</t>
  </si>
  <si>
    <t>Ms. Kavita Singh</t>
  </si>
  <si>
    <t>C608</t>
  </si>
  <si>
    <t>Mr. Mohammed Abid</t>
  </si>
  <si>
    <t>C701</t>
  </si>
  <si>
    <t>Mrs Sima Akhtar</t>
  </si>
  <si>
    <t>C702</t>
  </si>
  <si>
    <t>Mrs Mamta Yadav</t>
  </si>
  <si>
    <t>C703</t>
  </si>
  <si>
    <t>Mrs Kamal Kumar Kesarwani</t>
  </si>
  <si>
    <t>C704</t>
  </si>
  <si>
    <t>Ms. Neerja Srivastava</t>
  </si>
  <si>
    <t>C705</t>
  </si>
  <si>
    <t xml:space="preserve">Mrs. Rukmani Mishra </t>
  </si>
  <si>
    <t>C706</t>
  </si>
  <si>
    <t>Mr. Gopesh Kumar Srivastava</t>
  </si>
  <si>
    <t>C707</t>
  </si>
  <si>
    <t>Mr. Yash Kumar</t>
  </si>
  <si>
    <t>C708</t>
  </si>
  <si>
    <t>Mr. Uma Kant Kumar</t>
  </si>
  <si>
    <t>C801</t>
  </si>
  <si>
    <t>Dr. Pranay Kant Biswas</t>
  </si>
  <si>
    <t>C802</t>
  </si>
  <si>
    <t>Mrs Shashi Kumari</t>
  </si>
  <si>
    <t>C803</t>
  </si>
  <si>
    <t>C804</t>
  </si>
  <si>
    <t>Mr. Anshuman Singh</t>
  </si>
  <si>
    <t>C805</t>
  </si>
  <si>
    <t>Mr. Akash Varma</t>
  </si>
  <si>
    <t>C806</t>
  </si>
  <si>
    <t>Mr. Sunil Kumar Sunarya</t>
  </si>
  <si>
    <t>C807</t>
  </si>
  <si>
    <t>Ms. Punita Pandey</t>
  </si>
  <si>
    <t>C808</t>
  </si>
  <si>
    <t>Dr. Meenakshi Singh</t>
  </si>
  <si>
    <t>C901</t>
  </si>
  <si>
    <t>Mr. Arpit Sinha</t>
  </si>
  <si>
    <t>C902</t>
  </si>
  <si>
    <t>Ms. Akanksha Singh</t>
  </si>
  <si>
    <t>C903</t>
  </si>
  <si>
    <t>Mr. Rashid Mahmood</t>
  </si>
  <si>
    <t>C904</t>
  </si>
  <si>
    <t>Ms. Naina Pandey</t>
  </si>
  <si>
    <t>C905</t>
  </si>
  <si>
    <t>Mr Dev Raj Singh</t>
  </si>
  <si>
    <t>C906</t>
  </si>
  <si>
    <t>Mrs Sunita Singh</t>
  </si>
  <si>
    <t>C907</t>
  </si>
  <si>
    <t>Ms. Shalini Singh</t>
  </si>
  <si>
    <t>C908</t>
  </si>
  <si>
    <t>Mr. Dharmendra Singh</t>
  </si>
  <si>
    <t>C1001</t>
  </si>
  <si>
    <t>Mr Majzhar Abbas Zaidi</t>
  </si>
  <si>
    <t>C1002</t>
  </si>
  <si>
    <t>C1003</t>
  </si>
  <si>
    <t>Dr. Anas Wahab Ansari</t>
  </si>
  <si>
    <t>C1004</t>
  </si>
  <si>
    <t>Dr. Rashid Kamal Ansari</t>
  </si>
  <si>
    <t>C1005</t>
  </si>
  <si>
    <t>Mr Lokendra Bahadur Singh</t>
  </si>
  <si>
    <t>C1006</t>
  </si>
  <si>
    <t>Mr. Rai Rana Pratap</t>
  </si>
  <si>
    <t>C1007</t>
  </si>
  <si>
    <t>Dr. Arun Kumar Verma</t>
  </si>
  <si>
    <t>C1008</t>
  </si>
  <si>
    <t>Mr. Arun Kumar Singh</t>
  </si>
  <si>
    <t>C1101</t>
  </si>
  <si>
    <t>C1102</t>
  </si>
  <si>
    <t>C1103</t>
  </si>
  <si>
    <t>Mrs Shama Akhtar</t>
  </si>
  <si>
    <t>C1104</t>
  </si>
  <si>
    <t>C1105</t>
  </si>
  <si>
    <t>Mr. Rajendra Pandey</t>
  </si>
  <si>
    <t>C1106</t>
  </si>
  <si>
    <t>Mr Manish Kumar Verma</t>
  </si>
  <si>
    <t>C1107</t>
  </si>
  <si>
    <t>Mr. Deepak Kumar Verma</t>
  </si>
  <si>
    <t>C1108</t>
  </si>
  <si>
    <t>Mr. Niraj Kumar</t>
  </si>
  <si>
    <t>C1201</t>
  </si>
  <si>
    <t>C1202</t>
  </si>
  <si>
    <t>Mrs Nadiya Muqeet</t>
  </si>
  <si>
    <t>C1203</t>
  </si>
  <si>
    <t>SISL</t>
  </si>
  <si>
    <t>C1204</t>
  </si>
  <si>
    <t>Mrs Poonam Jain</t>
  </si>
  <si>
    <t>C1205</t>
  </si>
  <si>
    <t>C1206</t>
  </si>
  <si>
    <t>Mr. Shivam Verma</t>
  </si>
  <si>
    <t>C1207</t>
  </si>
  <si>
    <t>Mr Prateek kalyayan</t>
  </si>
  <si>
    <t>C1208</t>
  </si>
  <si>
    <t>Mr. Ravindra Nath Awasthi</t>
  </si>
  <si>
    <t>C1301</t>
  </si>
  <si>
    <t>C1302</t>
  </si>
  <si>
    <t>C1303</t>
  </si>
  <si>
    <t>C1304</t>
  </si>
  <si>
    <t>C1305</t>
  </si>
  <si>
    <t>C1306</t>
  </si>
  <si>
    <t>Ms. Arti Verma</t>
  </si>
  <si>
    <t>C1307</t>
  </si>
  <si>
    <t>C1308</t>
  </si>
  <si>
    <t>Mr. Upwan Gupta</t>
  </si>
  <si>
    <t>S-01</t>
  </si>
  <si>
    <t>Mujeev Khan</t>
  </si>
  <si>
    <t>S-02</t>
  </si>
  <si>
    <t>Total Collection of Maintenance</t>
  </si>
  <si>
    <t>Total Due on SISL</t>
  </si>
  <si>
    <t>Ranjan Walia</t>
  </si>
  <si>
    <t>Chandan Singh</t>
  </si>
  <si>
    <t>Transfer of Property Charges</t>
  </si>
  <si>
    <t>Total Deposit</t>
  </si>
  <si>
    <t>Registered upto 31.03.2023</t>
  </si>
  <si>
    <t>Effective date of Maintenance different</t>
  </si>
  <si>
    <t>Last year not or less paid/problematic</t>
  </si>
  <si>
    <t>Sold after handeover of Society</t>
  </si>
  <si>
    <t>STATEMENT OF RECEIPT AND EXPENDITURE                                      FROM 01.04.2025 FOR 31.10.2025</t>
  </si>
  <si>
    <t>Receipt</t>
  </si>
  <si>
    <t>Amount</t>
  </si>
  <si>
    <t>SISL (Lumpsum)</t>
  </si>
  <si>
    <t>Tfr by SISL</t>
  </si>
  <si>
    <t>Maintenence &amp; IFMS</t>
  </si>
  <si>
    <t>Membership</t>
  </si>
  <si>
    <t>Cash Dep(Community hall earnings)</t>
  </si>
  <si>
    <t>Refund of ele connection by SISL</t>
  </si>
  <si>
    <t>Excess Return by SISL</t>
  </si>
  <si>
    <t>Total Receipt</t>
  </si>
  <si>
    <t>Details of Expenditure Incurred from 27.04.25 to 31.10.25</t>
  </si>
  <si>
    <t>2.A</t>
  </si>
  <si>
    <t>Capital Expenditure (One Time)</t>
  </si>
  <si>
    <t>Fixed Deposit</t>
  </si>
  <si>
    <t>Music System</t>
  </si>
  <si>
    <t>Laptop</t>
  </si>
  <si>
    <t>Lawnmower</t>
  </si>
  <si>
    <t>FAN &amp; Accessories, Rotary Sw</t>
  </si>
  <si>
    <t>Accessories for Lawnmower</t>
  </si>
  <si>
    <t>Accessories for Music System</t>
  </si>
  <si>
    <t>Dust Bins</t>
  </si>
  <si>
    <t>Total Capital Expenditure</t>
  </si>
  <si>
    <t>2.B</t>
  </si>
  <si>
    <t>Regular Expenditure (Monthly)</t>
  </si>
  <si>
    <t>Security Guards</t>
  </si>
  <si>
    <t>Housekeeping/Caretaker/Garener</t>
  </si>
  <si>
    <t>Diesel for Generator</t>
  </si>
  <si>
    <t>Electrician</t>
  </si>
  <si>
    <t>Plumber</t>
  </si>
  <si>
    <t>Electric Bill A Block</t>
  </si>
  <si>
    <t>Electric Bill B Block</t>
  </si>
  <si>
    <t>Nagar Nigam</t>
  </si>
  <si>
    <t>Regular Expenditure</t>
  </si>
  <si>
    <t>2.C</t>
  </si>
  <si>
    <t>Misc Expenditure (As per requirement)</t>
  </si>
  <si>
    <t>Tank Cleaning</t>
  </si>
  <si>
    <t>Cash Withdrawl</t>
  </si>
  <si>
    <t>DG Battery+Lift Battery</t>
  </si>
  <si>
    <t>Lift Battery</t>
  </si>
  <si>
    <t>Independence Day</t>
  </si>
  <si>
    <t>Generator Serv.</t>
  </si>
  <si>
    <t>Misc Expenditure</t>
  </si>
  <si>
    <t>2.D</t>
  </si>
  <si>
    <t>Annual Maintenance</t>
  </si>
  <si>
    <t>Lifts (07) for 6 months</t>
  </si>
  <si>
    <t>Lifts (03) for 6 months</t>
  </si>
  <si>
    <t>Telephone</t>
  </si>
  <si>
    <t>Pump Control System</t>
  </si>
  <si>
    <t>CCTV</t>
  </si>
  <si>
    <t>AMC Expenditure</t>
  </si>
  <si>
    <t>Cash Account Statement from Starting to 31 Oct 25</t>
  </si>
  <si>
    <t>Details of Expences</t>
  </si>
  <si>
    <t>Pump Repair</t>
  </si>
  <si>
    <t>Cleaning Material</t>
  </si>
  <si>
    <t>Electrial Accessories</t>
  </si>
  <si>
    <t>Advance of Signboard</t>
  </si>
  <si>
    <t>Caretaker for Misc Expences</t>
  </si>
  <si>
    <t>Conveyance Charges</t>
  </si>
  <si>
    <t>Stationery</t>
  </si>
  <si>
    <t>Special Meeting Expences</t>
  </si>
  <si>
    <t>Plumbing material</t>
  </si>
  <si>
    <t>DG Service Expenditure</t>
  </si>
  <si>
    <t>Container for HSD</t>
  </si>
  <si>
    <t>Telephone instrument for Guardroom</t>
  </si>
  <si>
    <t>Transformer Repair Service Charge</t>
  </si>
  <si>
    <t>Purchase of Faruhi</t>
  </si>
  <si>
    <t>Independence Day exp</t>
  </si>
  <si>
    <t>Boom Barrier Repair, Radium</t>
  </si>
  <si>
    <t>Total Cash Expenditure</t>
  </si>
  <si>
    <t>Total Cash  Earnings</t>
  </si>
  <si>
    <t>Cash Receipt</t>
  </si>
  <si>
    <t>Cash Balance</t>
  </si>
  <si>
    <t>MOD Balance</t>
  </si>
  <si>
    <t>Available Balance</t>
  </si>
  <si>
    <t>Estimate of expenditure per month per flat.</t>
  </si>
  <si>
    <t>Total estimated Expenditure for one month</t>
  </si>
  <si>
    <t>Estimated Per month per flat expenditure with Generator Expenses</t>
  </si>
  <si>
    <t>Expences on running the DGs</t>
  </si>
  <si>
    <t>Estimated Per month per flat expenditure without generator expenses</t>
  </si>
  <si>
    <t>Estimated Capital Expenditrue for one month</t>
  </si>
  <si>
    <t>Estimated Regular Expenditure for One month</t>
  </si>
  <si>
    <t>Estimated Misc Expenditure for One month</t>
  </si>
  <si>
    <t>Estimated Annual Expenditure for One month</t>
  </si>
  <si>
    <t>Cash Exp for one month</t>
  </si>
  <si>
    <t>Difference in Calculation</t>
  </si>
  <si>
    <t>Breakup of Deposite by the Company</t>
  </si>
  <si>
    <t>Maint of C208</t>
  </si>
  <si>
    <t>IFMS of C208</t>
  </si>
  <si>
    <t>Excess refund from Electric Connection Transfer Charges</t>
  </si>
  <si>
    <t>Purchase of Lift Batt by SISL</t>
  </si>
  <si>
    <t xml:space="preserve">Mrs.  Geeta  Yadav  </t>
  </si>
  <si>
    <t>Mr. Kanishk Rai</t>
  </si>
  <si>
    <t>Mr. Anand Malviya (cash to sec)</t>
  </si>
  <si>
    <t>BLOCK</t>
  </si>
  <si>
    <t>FLAT NO</t>
  </si>
  <si>
    <t>AMOUNT</t>
  </si>
  <si>
    <t>Cash to be deposited by the Caretaker</t>
  </si>
  <si>
    <t>Mr. Ranjan Walia</t>
  </si>
  <si>
    <t>Total Maint Collection</t>
  </si>
  <si>
    <t>Total Deposits</t>
  </si>
  <si>
    <t>Extra Paid</t>
  </si>
  <si>
    <t>Old Ownwer</t>
  </si>
  <si>
    <t>Mr Ranvijay Singh</t>
  </si>
  <si>
    <t>MAINTENANCE NOT PAID</t>
  </si>
  <si>
    <t>SL</t>
  </si>
  <si>
    <t>Flat No</t>
  </si>
  <si>
    <t>Name of Owner</t>
  </si>
  <si>
    <t>No of Months Due</t>
  </si>
  <si>
    <t>Total Due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</si>
</sst>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&gt;9999999]##\,##\,##\,##0;[&gt;99999]##\,##\,##0;##,##0"/>
    <numFmt numFmtId="165" formatCode="[$₹]#,##0"/>
    <numFmt numFmtId="166" formatCode="0_ ;[Red]\-0\ "/>
  </numFmts>
  <fonts count="35">
    <font>
      <sz val="11.0"/>
      <color theme="1"/>
      <name val="Aptos Narrow"/>
      <scheme val="minor"/>
    </font>
    <font>
      <color theme="1"/>
      <name val="Aptos Narrow"/>
      <scheme val="minor"/>
    </font>
    <font>
      <sz val="10.0"/>
      <color theme="1"/>
      <name val="Arial"/>
    </font>
    <font>
      <sz val="10.0"/>
      <color rgb="FFFF0000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theme="1"/>
      <name val="Aptos Narrow"/>
    </font>
    <font>
      <sz val="10.0"/>
      <color rgb="FFFF0000"/>
      <name val="Aptos Narrow"/>
    </font>
    <font>
      <sz val="10.0"/>
      <color rgb="FF000000"/>
      <name val="Aptos Narrow"/>
    </font>
    <font>
      <b/>
      <sz val="10.0"/>
      <color theme="1"/>
      <name val="Aptos Narrow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rgb="FFFF0000"/>
      <name val="Aptos Narrow"/>
    </font>
    <font>
      <b/>
      <sz val="10.0"/>
      <color rgb="FFFF0000"/>
      <name val="Arial"/>
    </font>
    <font>
      <b/>
      <sz val="10.0"/>
      <color rgb="FFFF0000"/>
      <name val="Aptos Narrow"/>
    </font>
    <font>
      <color theme="1"/>
      <name val="Arial"/>
    </font>
    <font>
      <b/>
      <sz val="10.0"/>
      <color rgb="FF000000"/>
      <name val="Arial"/>
    </font>
    <font>
      <b/>
      <sz val="12.0"/>
      <color theme="1"/>
      <name val="Aptos Narrow"/>
    </font>
    <font>
      <b/>
      <sz val="15.0"/>
      <color theme="1"/>
      <name val="Arial"/>
    </font>
    <font>
      <sz val="11.0"/>
      <color theme="1"/>
      <name val="Arial"/>
    </font>
    <font>
      <sz val="15.0"/>
      <color theme="1"/>
      <name val="Arial"/>
    </font>
    <font>
      <b/>
      <sz val="11.0"/>
      <color theme="1"/>
      <name val="Arial"/>
    </font>
    <font>
      <sz val="15.0"/>
      <color theme="1"/>
      <name val="Aptos Narrow"/>
      <scheme val="minor"/>
    </font>
    <font>
      <b/>
      <color theme="1"/>
      <name val="Aptos Narrow"/>
      <scheme val="minor"/>
    </font>
    <font>
      <b/>
      <sz val="14.0"/>
      <color theme="1"/>
      <name val="Arial"/>
    </font>
    <font>
      <b/>
      <sz val="14.0"/>
      <color theme="1"/>
      <name val="Aptos Narrow"/>
    </font>
    <font>
      <sz val="15.0"/>
      <color theme="1"/>
      <name val="Aptos Narrow"/>
    </font>
    <font>
      <sz val="15.0"/>
      <color rgb="FF000000"/>
      <name val="Arial"/>
    </font>
    <font>
      <b/>
      <sz val="14.0"/>
      <color rgb="FF000000"/>
      <name val="Arial"/>
    </font>
    <font>
      <b/>
      <sz val="14.0"/>
      <color rgb="FF000000"/>
      <name val="Aptos Narrow"/>
    </font>
    <font>
      <b/>
      <color theme="1"/>
      <name val="Arial"/>
    </font>
    <font>
      <sz val="11.0"/>
      <color rgb="FFFF0000"/>
      <name val="Arial"/>
    </font>
    <font>
      <b/>
      <sz val="11.0"/>
      <color rgb="FF000000"/>
      <name val="Arial"/>
    </font>
    <font>
      <b/>
      <sz val="11.0"/>
      <color rgb="FF000000"/>
      <name val="Aptos Narrow"/>
    </font>
    <font/>
  </fonts>
  <fills count="10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66FF33"/>
        <bgColor rgb="FF66FF33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1">
    <xf borderId="0" fillId="0" fontId="0" numFmtId="0" xfId="0" applyAlignment="1" applyFont="1">
      <alignment readingOrder="0" shrinkToFit="0" vertical="bottom" wrapText="0"/>
    </xf>
    <xf borderId="1" fillId="0" fontId="1" numFmtId="164" xfId="0" applyBorder="1" applyFont="1" applyNumberFormat="1"/>
    <xf borderId="1" fillId="0" fontId="2" numFmtId="164" xfId="0" applyAlignment="1" applyBorder="1" applyFont="1" applyNumberFormat="1">
      <alignment horizontal="center" shrinkToFit="0" vertical="top" wrapText="1"/>
    </xf>
    <xf borderId="1" fillId="0" fontId="3" numFmtId="164" xfId="0" applyAlignment="1" applyBorder="1" applyFont="1" applyNumberFormat="1">
      <alignment horizontal="center" shrinkToFit="0" vertical="top" wrapText="1"/>
    </xf>
    <xf borderId="1" fillId="0" fontId="3" numFmtId="164" xfId="0" applyAlignment="1" applyBorder="1" applyFont="1" applyNumberFormat="1">
      <alignment horizontal="center" readingOrder="0" shrinkToFit="0" vertical="top" wrapText="1"/>
    </xf>
    <xf borderId="1" fillId="2" fontId="4" numFmtId="164" xfId="0" applyAlignment="1" applyBorder="1" applyFill="1" applyFont="1" applyNumberFormat="1">
      <alignment horizontal="center" shrinkToFit="0" vertical="top" wrapText="1"/>
    </xf>
    <xf borderId="1" fillId="0" fontId="5" numFmtId="164" xfId="0" applyAlignment="1" applyBorder="1" applyFont="1" applyNumberFormat="1">
      <alignment horizontal="center" shrinkToFit="0" vertical="top" wrapText="1"/>
    </xf>
    <xf borderId="1" fillId="0" fontId="6" numFmtId="164" xfId="0" applyAlignment="1" applyBorder="1" applyFont="1" applyNumberFormat="1">
      <alignment horizontal="center" shrinkToFit="0" vertical="top" wrapText="1"/>
    </xf>
    <xf borderId="1" fillId="0" fontId="2" numFmtId="164" xfId="0" applyBorder="1" applyFont="1" applyNumberFormat="1"/>
    <xf borderId="1" fillId="3" fontId="2" numFmtId="164" xfId="0" applyBorder="1" applyFill="1" applyFont="1" applyNumberFormat="1"/>
    <xf borderId="1" fillId="0" fontId="6" numFmtId="164" xfId="0" applyBorder="1" applyFont="1" applyNumberFormat="1"/>
    <xf borderId="1" fillId="0" fontId="4" numFmtId="164" xfId="0" applyBorder="1" applyFont="1" applyNumberFormat="1"/>
    <xf borderId="1" fillId="0" fontId="3" numFmtId="164" xfId="0" applyAlignment="1" applyBorder="1" applyFont="1" applyNumberFormat="1">
      <alignment readingOrder="0"/>
    </xf>
    <xf borderId="1" fillId="0" fontId="7" numFmtId="164" xfId="0" applyBorder="1" applyFont="1" applyNumberFormat="1"/>
    <xf borderId="1" fillId="0" fontId="8" numFmtId="164" xfId="0" applyBorder="1" applyFont="1" applyNumberFormat="1"/>
    <xf borderId="1" fillId="0" fontId="9" numFmtId="164" xfId="0" applyBorder="1" applyFont="1" applyNumberFormat="1"/>
    <xf borderId="1" fillId="0" fontId="10" numFmtId="164" xfId="0" applyBorder="1" applyFont="1" applyNumberFormat="1"/>
    <xf borderId="1" fillId="0" fontId="4" numFmtId="164" xfId="0" applyAlignment="1" applyBorder="1" applyFont="1" applyNumberFormat="1">
      <alignment readingOrder="0"/>
    </xf>
    <xf borderId="1" fillId="0" fontId="6" numFmtId="164" xfId="0" applyAlignment="1" applyBorder="1" applyFont="1" applyNumberFormat="1">
      <alignment readingOrder="0"/>
    </xf>
    <xf borderId="1" fillId="0" fontId="3" numFmtId="164" xfId="0" applyBorder="1" applyFont="1" applyNumberFormat="1"/>
    <xf borderId="1" fillId="4" fontId="2" numFmtId="164" xfId="0" applyBorder="1" applyFill="1" applyFont="1" applyNumberFormat="1"/>
    <xf borderId="1" fillId="0" fontId="11" numFmtId="164" xfId="0" applyBorder="1" applyFont="1" applyNumberFormat="1"/>
    <xf borderId="1" fillId="5" fontId="2" numFmtId="164" xfId="0" applyBorder="1" applyFill="1" applyFont="1" applyNumberFormat="1"/>
    <xf borderId="1" fillId="0" fontId="12" numFmtId="164" xfId="0" applyBorder="1" applyFont="1" applyNumberFormat="1"/>
    <xf borderId="1" fillId="0" fontId="13" numFmtId="164" xfId="0" applyBorder="1" applyFont="1" applyNumberFormat="1"/>
    <xf borderId="1" fillId="0" fontId="7" numFmtId="164" xfId="0" applyAlignment="1" applyBorder="1" applyFont="1" applyNumberFormat="1">
      <alignment readingOrder="0"/>
    </xf>
    <xf borderId="1" fillId="0" fontId="8" numFmtId="164" xfId="0" applyAlignment="1" applyBorder="1" applyFont="1" applyNumberFormat="1">
      <alignment readingOrder="0"/>
    </xf>
    <xf borderId="1" fillId="5" fontId="3" numFmtId="164" xfId="0" applyBorder="1" applyFont="1" applyNumberFormat="1"/>
    <xf borderId="1" fillId="6" fontId="7" numFmtId="164" xfId="0" applyBorder="1" applyFill="1" applyFont="1" applyNumberFormat="1"/>
    <xf borderId="1" fillId="0" fontId="14" numFmtId="164" xfId="0" applyBorder="1" applyFont="1" applyNumberFormat="1"/>
    <xf borderId="1" fillId="0" fontId="9" numFmtId="164" xfId="0" applyAlignment="1" applyBorder="1" applyFont="1" applyNumberFormat="1">
      <alignment readingOrder="0"/>
    </xf>
    <xf borderId="1" fillId="6" fontId="2" numFmtId="164" xfId="0" applyBorder="1" applyFont="1" applyNumberFormat="1"/>
    <xf borderId="1" fillId="0" fontId="5" numFmtId="16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5" numFmtId="164" xfId="0" applyBorder="1" applyFont="1" applyNumberFormat="1"/>
    <xf borderId="1" fillId="0" fontId="15" numFmtId="164" xfId="0" applyAlignment="1" applyBorder="1" applyFont="1" applyNumberFormat="1">
      <alignment readingOrder="0"/>
    </xf>
    <xf borderId="1" fillId="5" fontId="5" numFmtId="164" xfId="0" applyBorder="1" applyFont="1" applyNumberFormat="1"/>
    <xf borderId="1" fillId="6" fontId="5" numFmtId="164" xfId="0" applyBorder="1" applyFont="1" applyNumberFormat="1"/>
    <xf borderId="1" fillId="0" fontId="16" numFmtId="164" xfId="0" applyAlignment="1" applyBorder="1" applyFont="1" applyNumberFormat="1">
      <alignment readingOrder="0"/>
    </xf>
    <xf borderId="1" fillId="6" fontId="6" numFmtId="164" xfId="0" applyBorder="1" applyFont="1" applyNumberFormat="1"/>
    <xf borderId="1" fillId="2" fontId="4" numFmtId="164" xfId="0" applyBorder="1" applyFont="1" applyNumberFormat="1"/>
    <xf borderId="1" fillId="2" fontId="9" numFmtId="164" xfId="0" applyBorder="1" applyFont="1" applyNumberFormat="1"/>
    <xf borderId="1" fillId="7" fontId="17" numFmtId="164" xfId="0" applyBorder="1" applyFill="1" applyFont="1" applyNumberFormat="1"/>
    <xf borderId="0" fillId="0" fontId="1" numFmtId="164" xfId="0" applyFont="1" applyNumberFormat="1"/>
    <xf borderId="1" fillId="0" fontId="16" numFmtId="164" xfId="0" applyBorder="1" applyFont="1" applyNumberFormat="1"/>
    <xf borderId="1" fillId="6" fontId="2" numFmtId="164" xfId="0" applyAlignment="1" applyBorder="1" applyFont="1" applyNumberFormat="1">
      <alignment readingOrder="0"/>
    </xf>
    <xf borderId="0" fillId="0" fontId="6" numFmtId="164" xfId="0" applyFont="1" applyNumberFormat="1"/>
    <xf borderId="0" fillId="0" fontId="8" numFmtId="164" xfId="0" applyFont="1" applyNumberFormat="1"/>
    <xf borderId="1" fillId="3" fontId="6" numFmtId="164" xfId="0" applyBorder="1" applyFont="1" applyNumberFormat="1"/>
    <xf borderId="0" fillId="0" fontId="18" numFmtId="164" xfId="0" applyAlignment="1" applyFont="1" applyNumberFormat="1">
      <alignment horizontal="center" readingOrder="0" shrinkToFit="0" wrapText="1"/>
    </xf>
    <xf borderId="0" fillId="0" fontId="1" numFmtId="164" xfId="0" applyFont="1" applyNumberFormat="1"/>
    <xf borderId="0" fillId="0" fontId="19" numFmtId="164" xfId="0" applyFont="1" applyNumberFormat="1"/>
    <xf borderId="0" fillId="0" fontId="11" numFmtId="164" xfId="0" applyFont="1" applyNumberFormat="1"/>
    <xf borderId="0" fillId="0" fontId="20" numFmtId="164" xfId="0" applyAlignment="1" applyFont="1" applyNumberFormat="1">
      <alignment horizontal="center"/>
    </xf>
    <xf borderId="0" fillId="0" fontId="21" numFmtId="164" xfId="0" applyFont="1" applyNumberFormat="1"/>
    <xf borderId="0" fillId="0" fontId="10" numFmtId="164" xfId="0" applyFont="1" applyNumberFormat="1"/>
    <xf borderId="1" fillId="8" fontId="20" numFmtId="164" xfId="0" applyAlignment="1" applyBorder="1" applyFill="1" applyFont="1" applyNumberFormat="1">
      <alignment horizontal="center" readingOrder="0"/>
    </xf>
    <xf borderId="1" fillId="8" fontId="21" numFmtId="164" xfId="0" applyAlignment="1" applyBorder="1" applyFont="1" applyNumberFormat="1">
      <alignment readingOrder="0"/>
    </xf>
    <xf borderId="1" fillId="8" fontId="10" numFmtId="164" xfId="0" applyBorder="1" applyFont="1" applyNumberFormat="1"/>
    <xf borderId="0" fillId="8" fontId="19" numFmtId="164" xfId="0" applyFont="1" applyNumberFormat="1"/>
    <xf borderId="0" fillId="8" fontId="19" numFmtId="164" xfId="0" applyAlignment="1" applyFont="1" applyNumberFormat="1">
      <alignment readingOrder="0"/>
    </xf>
    <xf borderId="0" fillId="8" fontId="11" numFmtId="164" xfId="0" applyFont="1" applyNumberFormat="1"/>
    <xf borderId="1" fillId="0" fontId="22" numFmtId="0" xfId="0" applyAlignment="1" applyBorder="1" applyFont="1">
      <alignment horizontal="center"/>
    </xf>
    <xf borderId="1" fillId="0" fontId="1" numFmtId="0" xfId="0" applyBorder="1" applyFont="1"/>
    <xf borderId="1" fillId="0" fontId="21" numFmtId="164" xfId="0" applyAlignment="1" applyBorder="1" applyFont="1" applyNumberFormat="1">
      <alignment readingOrder="0"/>
    </xf>
    <xf borderId="0" fillId="0" fontId="19" numFmtId="164" xfId="0" applyFont="1" applyNumberFormat="1"/>
    <xf borderId="0" fillId="0" fontId="11" numFmtId="164" xfId="0" applyFont="1" applyNumberFormat="1"/>
    <xf borderId="1" fillId="0" fontId="20" numFmtId="164" xfId="0" applyAlignment="1" applyBorder="1" applyFont="1" applyNumberFormat="1">
      <alignment horizontal="center"/>
    </xf>
    <xf borderId="1" fillId="0" fontId="21" numFmtId="164" xfId="0" applyBorder="1" applyFont="1" applyNumberFormat="1"/>
    <xf borderId="1" fillId="0" fontId="23" numFmtId="0" xfId="0" applyBorder="1" applyFont="1"/>
    <xf borderId="1" fillId="0" fontId="20" numFmtId="164" xfId="0" applyAlignment="1" applyBorder="1" applyFont="1" applyNumberFormat="1">
      <alignment horizontal="center" readingOrder="0"/>
    </xf>
    <xf borderId="1" fillId="0" fontId="24" numFmtId="164" xfId="0" applyAlignment="1" applyBorder="1" applyFont="1" applyNumberFormat="1">
      <alignment readingOrder="0"/>
    </xf>
    <xf borderId="1" fillId="0" fontId="24" numFmtId="164" xfId="0" applyBorder="1" applyFont="1" applyNumberFormat="1"/>
    <xf borderId="1" fillId="0" fontId="25" numFmtId="164" xfId="0" applyBorder="1" applyFont="1" applyNumberFormat="1"/>
    <xf borderId="0" fillId="0" fontId="21" numFmtId="164" xfId="0" applyFont="1" applyNumberFormat="1"/>
    <xf borderId="0" fillId="0" fontId="10" numFmtId="164" xfId="0" applyFont="1" applyNumberFormat="1"/>
    <xf borderId="0" fillId="8" fontId="20" numFmtId="164" xfId="0" applyAlignment="1" applyFont="1" applyNumberFormat="1">
      <alignment horizontal="center" readingOrder="0"/>
    </xf>
    <xf borderId="0" fillId="8" fontId="21" numFmtId="164" xfId="0" applyAlignment="1" applyFont="1" applyNumberFormat="1">
      <alignment readingOrder="0"/>
    </xf>
    <xf borderId="0" fillId="8" fontId="21" numFmtId="164" xfId="0" applyFont="1" applyNumberFormat="1"/>
    <xf borderId="0" fillId="8" fontId="10" numFmtId="164" xfId="0" applyFont="1" applyNumberFormat="1"/>
    <xf borderId="0" fillId="8" fontId="1" numFmtId="164" xfId="0" applyFont="1" applyNumberFormat="1"/>
    <xf borderId="1" fillId="0" fontId="21" numFmtId="164" xfId="0" applyBorder="1" applyFont="1" applyNumberFormat="1"/>
    <xf borderId="1" fillId="0" fontId="10" numFmtId="164" xfId="0" applyBorder="1" applyFont="1" applyNumberFormat="1"/>
    <xf borderId="1" fillId="0" fontId="26" numFmtId="164" xfId="0" applyAlignment="1" applyBorder="1" applyFont="1" applyNumberFormat="1">
      <alignment horizontal="center"/>
    </xf>
    <xf borderId="0" fillId="0" fontId="1" numFmtId="164" xfId="0" applyFont="1" applyNumberFormat="1"/>
    <xf borderId="1" fillId="0" fontId="21" numFmtId="164" xfId="0" applyAlignment="1" applyBorder="1" applyFont="1" applyNumberFormat="1">
      <alignment readingOrder="0"/>
    </xf>
    <xf borderId="0" fillId="0" fontId="19" numFmtId="164" xfId="0" applyAlignment="1" applyFont="1" applyNumberFormat="1">
      <alignment readingOrder="0"/>
    </xf>
    <xf borderId="1" fillId="0" fontId="27" numFmtId="164" xfId="0" applyAlignment="1" applyBorder="1" applyFont="1" applyNumberFormat="1">
      <alignment horizontal="center" readingOrder="0"/>
    </xf>
    <xf borderId="1" fillId="0" fontId="28" numFmtId="164" xfId="0" applyAlignment="1" applyBorder="1" applyFont="1" applyNumberFormat="1">
      <alignment readingOrder="0"/>
    </xf>
    <xf borderId="1" fillId="0" fontId="29" numFmtId="164" xfId="0" applyBorder="1" applyFont="1" applyNumberFormat="1"/>
    <xf borderId="1" fillId="0" fontId="23" numFmtId="164" xfId="0" applyBorder="1" applyFont="1" applyNumberFormat="1"/>
    <xf borderId="0" fillId="0" fontId="21" numFmtId="164" xfId="0" applyAlignment="1" applyFont="1" applyNumberFormat="1">
      <alignment readingOrder="0"/>
    </xf>
    <xf borderId="0" fillId="0" fontId="30" numFmtId="164" xfId="0" applyAlignment="1" applyFont="1" applyNumberFormat="1">
      <alignment readingOrder="0"/>
    </xf>
    <xf borderId="0" fillId="0" fontId="31" numFmtId="164" xfId="0" applyFont="1" applyNumberFormat="1"/>
    <xf borderId="0" fillId="0" fontId="31" numFmtId="164" xfId="0" applyAlignment="1" applyFont="1" applyNumberFormat="1">
      <alignment readingOrder="0"/>
    </xf>
    <xf borderId="0" fillId="0" fontId="20" numFmtId="164" xfId="0" applyAlignment="1" applyFont="1" applyNumberFormat="1">
      <alignment horizontal="center" readingOrder="0"/>
    </xf>
    <xf borderId="1" fillId="8" fontId="27" numFmtId="164" xfId="0" applyAlignment="1" applyBorder="1" applyFont="1" applyNumberFormat="1">
      <alignment horizontal="center" readingOrder="0"/>
    </xf>
    <xf borderId="1" fillId="8" fontId="24" numFmtId="164" xfId="0" applyAlignment="1" applyBorder="1" applyFont="1" applyNumberFormat="1">
      <alignment readingOrder="0"/>
    </xf>
    <xf borderId="0" fillId="8" fontId="22" numFmtId="0" xfId="0" applyFont="1"/>
    <xf borderId="0" fillId="8" fontId="1" numFmtId="0" xfId="0" applyFont="1"/>
    <xf borderId="1" fillId="0" fontId="27" numFmtId="164" xfId="0" applyAlignment="1" applyBorder="1" applyFont="1" applyNumberFormat="1">
      <alignment horizontal="center" readingOrder="0"/>
    </xf>
    <xf borderId="1" fillId="0" fontId="32" numFmtId="164" xfId="0" applyAlignment="1" applyBorder="1" applyFont="1" applyNumberFormat="1">
      <alignment readingOrder="0"/>
    </xf>
    <xf borderId="1" fillId="0" fontId="10" numFmtId="164" xfId="0" applyBorder="1" applyFont="1" applyNumberFormat="1"/>
    <xf borderId="0" fillId="0" fontId="22" numFmtId="0" xfId="0" applyFont="1"/>
    <xf borderId="1" fillId="0" fontId="27" numFmtId="164" xfId="0" applyAlignment="1" applyBorder="1" applyFont="1" applyNumberFormat="1">
      <alignment horizontal="center" readingOrder="0" shrinkToFit="0" wrapText="1"/>
    </xf>
    <xf borderId="1" fillId="0" fontId="32" numFmtId="164" xfId="0" applyAlignment="1" applyBorder="1" applyFont="1" applyNumberFormat="1">
      <alignment horizontal="left" readingOrder="0" shrinkToFit="0" wrapText="1"/>
    </xf>
    <xf borderId="0" fillId="0" fontId="15" numFmtId="0" xfId="0" applyAlignment="1" applyFont="1">
      <alignment readingOrder="0"/>
    </xf>
    <xf borderId="1" fillId="0" fontId="15" numFmtId="0" xfId="0" applyAlignment="1" applyBorder="1" applyFont="1">
      <alignment readingOrder="0"/>
    </xf>
    <xf borderId="0" fillId="0" fontId="18" numFmtId="164" xfId="0" applyAlignment="1" applyFont="1" applyNumberFormat="1">
      <alignment readingOrder="0"/>
    </xf>
    <xf borderId="1" fillId="0" fontId="21" numFmtId="164" xfId="0" applyAlignment="1" applyBorder="1" applyFont="1" applyNumberFormat="1">
      <alignment horizontal="center" readingOrder="0"/>
    </xf>
    <xf borderId="0" fillId="0" fontId="21" numFmtId="164" xfId="0" applyAlignment="1" applyFont="1" applyNumberFormat="1">
      <alignment horizontal="left" readingOrder="0"/>
    </xf>
    <xf borderId="1" fillId="9" fontId="20" numFmtId="164" xfId="0" applyAlignment="1" applyBorder="1" applyFill="1" applyFont="1" applyNumberFormat="1">
      <alignment horizontal="center" readingOrder="0"/>
    </xf>
    <xf borderId="1" fillId="9" fontId="24" numFmtId="164" xfId="0" applyAlignment="1" applyBorder="1" applyFont="1" applyNumberFormat="1">
      <alignment readingOrder="0"/>
    </xf>
    <xf borderId="1" fillId="9" fontId="24" numFmtId="164" xfId="0" applyAlignment="1" applyBorder="1" applyFont="1" applyNumberFormat="1">
      <alignment horizontal="right" readingOrder="0"/>
    </xf>
    <xf borderId="1" fillId="9" fontId="1" numFmtId="0" xfId="0" applyBorder="1" applyFont="1"/>
    <xf borderId="0" fillId="0" fontId="18" numFmtId="164" xfId="0" applyAlignment="1" applyFont="1" applyNumberFormat="1">
      <alignment horizontal="center" readingOrder="0"/>
    </xf>
    <xf borderId="1" fillId="0" fontId="18" numFmtId="164" xfId="0" applyAlignment="1" applyBorder="1" applyFont="1" applyNumberFormat="1">
      <alignment horizontal="center" readingOrder="0"/>
    </xf>
    <xf borderId="1" fillId="0" fontId="18" numFmtId="164" xfId="0" applyAlignment="1" applyBorder="1" applyFont="1" applyNumberFormat="1">
      <alignment readingOrder="0"/>
    </xf>
    <xf borderId="1" fillId="0" fontId="1" numFmtId="0" xfId="0" applyAlignment="1" applyBorder="1" applyFont="1">
      <alignment horizontal="center"/>
    </xf>
    <xf borderId="1" fillId="0" fontId="21" numFmtId="164" xfId="0" applyAlignment="1" applyBorder="1" applyFont="1" applyNumberFormat="1">
      <alignment readingOrder="0" shrinkToFit="0" wrapText="1"/>
    </xf>
    <xf borderId="1" fillId="0" fontId="0" numFmtId="0" xfId="0" applyBorder="1" applyFont="1"/>
    <xf borderId="1" fillId="0" fontId="20" numFmtId="164" xfId="0" applyAlignment="1" applyBorder="1" applyFont="1" applyNumberFormat="1">
      <alignment horizontal="center" readingOrder="0" shrinkToFit="0" wrapText="1"/>
    </xf>
    <xf borderId="0" fillId="0" fontId="23" numFmtId="164" xfId="0" applyFont="1" applyNumberFormat="1"/>
    <xf borderId="1" fillId="0" fontId="20" numFmtId="0" xfId="0" applyAlignment="1" applyBorder="1" applyFont="1">
      <alignment horizontal="center" readingOrder="0"/>
    </xf>
    <xf borderId="1" fillId="0" fontId="19" numFmtId="0" xfId="0" applyAlignment="1" applyBorder="1" applyFont="1">
      <alignment readingOrder="0"/>
    </xf>
    <xf borderId="1" fillId="0" fontId="27" numFmtId="164" xfId="0" applyAlignment="1" applyBorder="1" applyFont="1" applyNumberFormat="1">
      <alignment horizontal="center"/>
    </xf>
    <xf borderId="1" fillId="0" fontId="32" numFmtId="164" xfId="0" applyAlignment="1" applyBorder="1" applyFont="1" applyNumberFormat="1">
      <alignment readingOrder="0"/>
    </xf>
    <xf borderId="1" fillId="0" fontId="33" numFmtId="164" xfId="0" applyBorder="1" applyFont="1" applyNumberFormat="1"/>
    <xf borderId="0" fillId="0" fontId="22" numFmtId="0" xfId="0" applyAlignment="1" applyFont="1">
      <alignment horizontal="center"/>
    </xf>
    <xf borderId="0" fillId="0" fontId="23" numFmtId="0" xfId="0" applyFont="1"/>
    <xf borderId="0" fillId="0" fontId="21" numFmtId="164" xfId="0" applyAlignment="1" applyFont="1" applyNumberFormat="1">
      <alignment readingOrder="0" shrinkToFit="0" wrapText="1"/>
    </xf>
    <xf borderId="0" fillId="0" fontId="26" numFmtId="164" xfId="0" applyAlignment="1" applyFont="1" applyNumberFormat="1">
      <alignment horizontal="center"/>
    </xf>
    <xf borderId="1" fillId="0" fontId="2" numFmtId="0" xfId="0" applyAlignment="1" applyBorder="1" applyFont="1">
      <alignment horizontal="center" shrinkToFit="0" vertical="top" wrapText="1"/>
    </xf>
    <xf borderId="1" fillId="0" fontId="9" numFmtId="165" xfId="0" applyBorder="1" applyFont="1" applyNumberFormat="1"/>
    <xf borderId="1" fillId="0" fontId="2" numFmtId="0" xfId="0" applyBorder="1" applyFont="1"/>
    <xf borderId="1" fillId="0" fontId="6" numFmtId="0" xfId="0" applyBorder="1" applyFont="1"/>
    <xf borderId="1" fillId="0" fontId="2" numFmtId="0" xfId="0" applyAlignment="1" applyBorder="1" applyFont="1">
      <alignment readingOrder="0"/>
    </xf>
    <xf borderId="0" fillId="0" fontId="11" numFmtId="0" xfId="0" applyFont="1"/>
    <xf borderId="1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readingOrder="0" shrinkToFit="0" vertical="top" wrapText="1"/>
    </xf>
    <xf borderId="1" fillId="3" fontId="2" numFmtId="0" xfId="0" applyAlignment="1" applyBorder="1" applyFont="1">
      <alignment readingOrder="0"/>
    </xf>
    <xf borderId="1" fillId="3" fontId="2" numFmtId="0" xfId="0" applyBorder="1" applyFont="1"/>
    <xf borderId="0" fillId="0" fontId="19" numFmtId="0" xfId="0" applyFont="1"/>
    <xf borderId="1" fillId="4" fontId="2" numFmtId="0" xfId="0" applyBorder="1" applyFont="1"/>
    <xf borderId="1" fillId="5" fontId="2" numFmtId="0" xfId="0" applyBorder="1" applyFont="1"/>
    <xf borderId="1" fillId="0" fontId="3" numFmtId="0" xfId="0" applyBorder="1" applyFont="1"/>
    <xf borderId="1" fillId="5" fontId="3" numFmtId="0" xfId="0" applyBorder="1" applyFont="1"/>
    <xf borderId="1" fillId="6" fontId="7" numFmtId="0" xfId="0" applyBorder="1" applyFont="1"/>
    <xf borderId="1" fillId="6" fontId="2" numFmtId="0" xfId="0" applyBorder="1" applyFont="1"/>
    <xf borderId="0" fillId="0" fontId="19" numFmtId="0" xfId="0" applyAlignment="1" applyFont="1">
      <alignment readingOrder="0"/>
    </xf>
    <xf borderId="1" fillId="0" fontId="5" numFmtId="0" xfId="0" applyBorder="1" applyFont="1"/>
    <xf borderId="1" fillId="6" fontId="3" numFmtId="0" xfId="0" applyBorder="1" applyFont="1"/>
    <xf borderId="1" fillId="6" fontId="6" numFmtId="0" xfId="0" applyBorder="1" applyFont="1"/>
    <xf borderId="1" fillId="2" fontId="4" numFmtId="0" xfId="0" applyAlignment="1" applyBorder="1" applyFont="1">
      <alignment readingOrder="0"/>
    </xf>
    <xf borderId="1" fillId="2" fontId="9" numFmtId="165" xfId="0" applyBorder="1" applyFont="1" applyNumberFormat="1"/>
    <xf borderId="1" fillId="0" fontId="6" numFmtId="165" xfId="0" applyBorder="1" applyFont="1" applyNumberFormat="1"/>
    <xf borderId="1" fillId="3" fontId="6" numFmtId="0" xfId="0" applyBorder="1" applyFont="1"/>
    <xf borderId="1" fillId="4" fontId="6" numFmtId="0" xfId="0" applyBorder="1" applyFont="1"/>
    <xf borderId="1" fillId="0" fontId="4" numFmtId="165" xfId="0" applyAlignment="1" applyBorder="1" applyFont="1" applyNumberFormat="1">
      <alignment readingOrder="0"/>
    </xf>
    <xf borderId="0" fillId="0" fontId="9" numFmtId="165" xfId="0" applyFont="1" applyNumberFormat="1"/>
    <xf borderId="0" fillId="0" fontId="6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1" fillId="0" fontId="11" numFmtId="0" xfId="0" applyAlignment="1" applyBorder="1" applyFont="1">
      <alignment horizontal="center"/>
    </xf>
    <xf borderId="2" fillId="0" fontId="11" numFmtId="0" xfId="0" applyAlignment="1" applyBorder="1" applyFont="1">
      <alignment horizontal="center"/>
    </xf>
    <xf borderId="3" fillId="0" fontId="34" numFmtId="0" xfId="0" applyBorder="1" applyFont="1"/>
    <xf borderId="4" fillId="0" fontId="34" numFmtId="0" xfId="0" applyBorder="1" applyFont="1"/>
    <xf borderId="0" fillId="0" fontId="1" numFmtId="0" xfId="0" applyFont="1"/>
    <xf borderId="1" fillId="0" fontId="19" numFmtId="0" xfId="0" applyAlignment="1" applyBorder="1" applyFont="1">
      <alignment horizontal="center" readingOrder="0"/>
    </xf>
    <xf borderId="1" fillId="0" fontId="2" numFmtId="166" xfId="0" applyAlignment="1" applyBorder="1" applyFont="1" applyNumberFormat="1">
      <alignment readingOrder="0"/>
    </xf>
    <xf borderId="1" fillId="0" fontId="7" numFmtId="0" xfId="0" applyBorder="1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As on 31 Oct 25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3:AD1075" displayName="Table_1" name="Table_1" id="1">
  <tableColumns count="3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</tableColumns>
  <tableStyleInfo name="As on 31 Oct 25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hidden="1" min="1" max="1" width="3.25"/>
    <col customWidth="1" min="2" max="2" width="8.38"/>
    <col customWidth="1" min="3" max="3" width="9.13"/>
    <col customWidth="1" hidden="1" min="4" max="4" width="5.13"/>
    <col customWidth="1" min="5" max="5" width="8.63"/>
    <col customWidth="1" min="6" max="6" width="26.63"/>
    <col customWidth="1" min="7" max="7" width="7.5"/>
    <col customWidth="1" min="8" max="8" width="5.75"/>
    <col customWidth="1" min="9" max="9" width="5.0"/>
    <col customWidth="1" min="10" max="11" width="12.0"/>
    <col customWidth="1" min="12" max="12" width="9.25"/>
    <col customWidth="1" min="13" max="13" width="10.5"/>
    <col customWidth="1" min="14" max="14" width="11.13"/>
    <col customWidth="1" min="15" max="15" width="8.88"/>
    <col customWidth="1" min="16" max="16" width="7.75"/>
    <col customWidth="1" min="17" max="17" width="9.5"/>
    <col customWidth="1" min="18" max="18" width="10.25"/>
    <col customWidth="1" min="19" max="19" width="6.13"/>
    <col customWidth="1" min="20" max="20" width="8.63"/>
    <col customWidth="1" min="21" max="21" width="11.5"/>
  </cols>
  <sheetData>
    <row r="1" ht="43.5" customHeight="1">
      <c r="A1" s="1"/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/>
      <c r="K1" s="3" t="s">
        <v>8</v>
      </c>
      <c r="L1" s="4" t="s">
        <v>9</v>
      </c>
      <c r="M1" s="5" t="s">
        <v>10</v>
      </c>
      <c r="N1" s="6" t="s">
        <v>11</v>
      </c>
      <c r="O1" s="2" t="s">
        <v>12</v>
      </c>
      <c r="P1" s="2" t="s">
        <v>13</v>
      </c>
      <c r="Q1" s="7" t="s">
        <v>14</v>
      </c>
      <c r="R1" s="7" t="s">
        <v>15</v>
      </c>
      <c r="S1" s="2" t="s">
        <v>16</v>
      </c>
      <c r="T1" s="2" t="s">
        <v>16</v>
      </c>
      <c r="U1" s="7" t="s">
        <v>17</v>
      </c>
    </row>
    <row r="2" ht="14.25" customHeight="1">
      <c r="A2" s="1" t="s">
        <v>18</v>
      </c>
      <c r="B2" s="1">
        <v>36000.0</v>
      </c>
      <c r="C2" s="1">
        <v>100000.0</v>
      </c>
      <c r="D2" s="8">
        <v>1.0</v>
      </c>
      <c r="E2" s="9" t="s">
        <v>19</v>
      </c>
      <c r="F2" s="10" t="s">
        <v>20</v>
      </c>
      <c r="G2" s="11">
        <v>18000.0</v>
      </c>
      <c r="H2" s="10">
        <f t="shared" ref="H2:H52" si="1">G2/3000</f>
        <v>6</v>
      </c>
      <c r="I2" s="10">
        <f t="shared" ref="I2:I261" si="2">R2-L2-H2</f>
        <v>6.466666667</v>
      </c>
      <c r="J2" s="12">
        <v>18000.0</v>
      </c>
      <c r="K2" s="13"/>
      <c r="L2" s="13">
        <f t="shared" ref="L2:L52" si="3">B2/3000</f>
        <v>12</v>
      </c>
      <c r="M2" s="10">
        <v>45078.0</v>
      </c>
      <c r="N2" s="14">
        <v>45078.0</v>
      </c>
      <c r="O2" s="10">
        <v>46172.0</v>
      </c>
      <c r="P2" s="10">
        <f t="shared" ref="P2:P261" si="4">(O2-N2)/30</f>
        <v>36.46666667</v>
      </c>
      <c r="Q2" s="10">
        <v>12.0</v>
      </c>
      <c r="R2" s="10">
        <f t="shared" ref="R2:R261" si="5">P2-Q2</f>
        <v>24.46666667</v>
      </c>
      <c r="S2" s="10">
        <f t="shared" ref="S2:S261" si="6">(N2-M2)/30</f>
        <v>0</v>
      </c>
      <c r="T2" s="10"/>
      <c r="U2" s="10">
        <f t="shared" ref="U2:U52" si="7">T2*3000</f>
        <v>0</v>
      </c>
    </row>
    <row r="3" ht="14.25" customHeight="1">
      <c r="A3" s="1" t="s">
        <v>18</v>
      </c>
      <c r="B3" s="1">
        <v>36000.0</v>
      </c>
      <c r="C3" s="1">
        <v>100000.0</v>
      </c>
      <c r="D3" s="8">
        <v>2.0</v>
      </c>
      <c r="E3" s="9" t="s">
        <v>21</v>
      </c>
      <c r="F3" s="8" t="s">
        <v>22</v>
      </c>
      <c r="G3" s="11">
        <v>18000.0</v>
      </c>
      <c r="H3" s="10">
        <f t="shared" si="1"/>
        <v>6</v>
      </c>
      <c r="I3" s="10">
        <f t="shared" si="2"/>
        <v>6.466666667</v>
      </c>
      <c r="J3" s="12">
        <v>18000.0</v>
      </c>
      <c r="K3" s="13"/>
      <c r="L3" s="13">
        <f t="shared" si="3"/>
        <v>12</v>
      </c>
      <c r="M3" s="10">
        <v>45078.0</v>
      </c>
      <c r="N3" s="14">
        <v>45078.0</v>
      </c>
      <c r="O3" s="10">
        <v>46172.0</v>
      </c>
      <c r="P3" s="10">
        <f t="shared" si="4"/>
        <v>36.46666667</v>
      </c>
      <c r="Q3" s="10">
        <v>12.0</v>
      </c>
      <c r="R3" s="10">
        <f t="shared" si="5"/>
        <v>24.46666667</v>
      </c>
      <c r="S3" s="10">
        <f t="shared" si="6"/>
        <v>0</v>
      </c>
      <c r="T3" s="10"/>
      <c r="U3" s="10">
        <f t="shared" si="7"/>
        <v>0</v>
      </c>
    </row>
    <row r="4" ht="14.25" customHeight="1">
      <c r="A4" s="1" t="s">
        <v>18</v>
      </c>
      <c r="B4" s="1">
        <v>36000.0</v>
      </c>
      <c r="C4" s="1">
        <v>100000.0</v>
      </c>
      <c r="D4" s="8">
        <v>3.0</v>
      </c>
      <c r="E4" s="9" t="s">
        <v>23</v>
      </c>
      <c r="F4" s="10" t="s">
        <v>24</v>
      </c>
      <c r="G4" s="11">
        <v>18000.0</v>
      </c>
      <c r="H4" s="10">
        <f t="shared" si="1"/>
        <v>6</v>
      </c>
      <c r="I4" s="10">
        <f t="shared" si="2"/>
        <v>6.466666667</v>
      </c>
      <c r="J4" s="12">
        <v>18000.0</v>
      </c>
      <c r="K4" s="13"/>
      <c r="L4" s="13">
        <f t="shared" si="3"/>
        <v>12</v>
      </c>
      <c r="M4" s="10">
        <v>45078.0</v>
      </c>
      <c r="N4" s="14">
        <v>45078.0</v>
      </c>
      <c r="O4" s="10">
        <v>46172.0</v>
      </c>
      <c r="P4" s="10">
        <f t="shared" si="4"/>
        <v>36.46666667</v>
      </c>
      <c r="Q4" s="10">
        <v>12.0</v>
      </c>
      <c r="R4" s="10">
        <f t="shared" si="5"/>
        <v>24.46666667</v>
      </c>
      <c r="S4" s="10">
        <f t="shared" si="6"/>
        <v>0</v>
      </c>
      <c r="T4" s="10"/>
      <c r="U4" s="10">
        <f t="shared" si="7"/>
        <v>0</v>
      </c>
    </row>
    <row r="5" ht="14.25" customHeight="1">
      <c r="A5" s="1" t="s">
        <v>18</v>
      </c>
      <c r="B5" s="1">
        <v>36000.0</v>
      </c>
      <c r="C5" s="1">
        <v>100000.0</v>
      </c>
      <c r="D5" s="8">
        <v>4.0</v>
      </c>
      <c r="E5" s="9" t="s">
        <v>25</v>
      </c>
      <c r="F5" s="8" t="s">
        <v>26</v>
      </c>
      <c r="G5" s="11">
        <v>18000.0</v>
      </c>
      <c r="H5" s="10">
        <f t="shared" si="1"/>
        <v>6</v>
      </c>
      <c r="I5" s="10">
        <f t="shared" si="2"/>
        <v>6.466666667</v>
      </c>
      <c r="J5" s="12">
        <v>18000.0</v>
      </c>
      <c r="K5" s="13"/>
      <c r="L5" s="13">
        <f t="shared" si="3"/>
        <v>12</v>
      </c>
      <c r="M5" s="10">
        <v>45078.0</v>
      </c>
      <c r="N5" s="14">
        <v>45078.0</v>
      </c>
      <c r="O5" s="10">
        <v>46172.0</v>
      </c>
      <c r="P5" s="10">
        <f t="shared" si="4"/>
        <v>36.46666667</v>
      </c>
      <c r="Q5" s="10">
        <v>12.0</v>
      </c>
      <c r="R5" s="10">
        <f t="shared" si="5"/>
        <v>24.46666667</v>
      </c>
      <c r="S5" s="10">
        <f t="shared" si="6"/>
        <v>0</v>
      </c>
      <c r="T5" s="10"/>
      <c r="U5" s="10">
        <f t="shared" si="7"/>
        <v>0</v>
      </c>
    </row>
    <row r="6" ht="14.25" customHeight="1">
      <c r="A6" s="1" t="s">
        <v>18</v>
      </c>
      <c r="B6" s="1">
        <v>36000.0</v>
      </c>
      <c r="C6" s="1">
        <v>100000.0</v>
      </c>
      <c r="D6" s="8">
        <v>5.0</v>
      </c>
      <c r="E6" s="9" t="s">
        <v>27</v>
      </c>
      <c r="F6" s="8" t="s">
        <v>28</v>
      </c>
      <c r="G6" s="11">
        <v>18000.0</v>
      </c>
      <c r="H6" s="10">
        <f t="shared" si="1"/>
        <v>6</v>
      </c>
      <c r="I6" s="10">
        <f t="shared" si="2"/>
        <v>6.466666667</v>
      </c>
      <c r="J6" s="12">
        <v>18000.0</v>
      </c>
      <c r="K6" s="13"/>
      <c r="L6" s="13">
        <f t="shared" si="3"/>
        <v>12</v>
      </c>
      <c r="M6" s="10">
        <v>45078.0</v>
      </c>
      <c r="N6" s="14">
        <v>45078.0</v>
      </c>
      <c r="O6" s="10">
        <v>46172.0</v>
      </c>
      <c r="P6" s="10">
        <f t="shared" si="4"/>
        <v>36.46666667</v>
      </c>
      <c r="Q6" s="10">
        <v>12.0</v>
      </c>
      <c r="R6" s="10">
        <f t="shared" si="5"/>
        <v>24.46666667</v>
      </c>
      <c r="S6" s="10">
        <f t="shared" si="6"/>
        <v>0</v>
      </c>
      <c r="T6" s="10"/>
      <c r="U6" s="10">
        <f t="shared" si="7"/>
        <v>0</v>
      </c>
    </row>
    <row r="7" ht="14.25" customHeight="1">
      <c r="A7" s="1" t="s">
        <v>18</v>
      </c>
      <c r="B7" s="1">
        <v>36000.0</v>
      </c>
      <c r="C7" s="1">
        <v>100000.0</v>
      </c>
      <c r="D7" s="8">
        <v>6.0</v>
      </c>
      <c r="E7" s="9" t="s">
        <v>29</v>
      </c>
      <c r="F7" s="8" t="s">
        <v>30</v>
      </c>
      <c r="G7" s="11">
        <v>18000.0</v>
      </c>
      <c r="H7" s="10">
        <f t="shared" si="1"/>
        <v>6</v>
      </c>
      <c r="I7" s="10">
        <f t="shared" si="2"/>
        <v>6.466666667</v>
      </c>
      <c r="J7" s="12">
        <v>18000.0</v>
      </c>
      <c r="K7" s="13"/>
      <c r="L7" s="13">
        <f t="shared" si="3"/>
        <v>12</v>
      </c>
      <c r="M7" s="10">
        <v>45078.0</v>
      </c>
      <c r="N7" s="14">
        <v>45078.0</v>
      </c>
      <c r="O7" s="10">
        <v>46172.0</v>
      </c>
      <c r="P7" s="10">
        <f t="shared" si="4"/>
        <v>36.46666667</v>
      </c>
      <c r="Q7" s="10">
        <v>12.0</v>
      </c>
      <c r="R7" s="10">
        <f t="shared" si="5"/>
        <v>24.46666667</v>
      </c>
      <c r="S7" s="10">
        <f t="shared" si="6"/>
        <v>0</v>
      </c>
      <c r="T7" s="10"/>
      <c r="U7" s="10">
        <f t="shared" si="7"/>
        <v>0</v>
      </c>
    </row>
    <row r="8" ht="14.25" customHeight="1">
      <c r="A8" s="1" t="s">
        <v>18</v>
      </c>
      <c r="B8" s="1">
        <v>36000.0</v>
      </c>
      <c r="C8" s="1">
        <v>100000.0</v>
      </c>
      <c r="D8" s="8">
        <v>7.0</v>
      </c>
      <c r="E8" s="9" t="s">
        <v>31</v>
      </c>
      <c r="F8" s="8" t="s">
        <v>32</v>
      </c>
      <c r="G8" s="11">
        <v>18000.0</v>
      </c>
      <c r="H8" s="10">
        <f t="shared" si="1"/>
        <v>6</v>
      </c>
      <c r="I8" s="10">
        <f t="shared" si="2"/>
        <v>6.466666667</v>
      </c>
      <c r="J8" s="12">
        <v>18000.0</v>
      </c>
      <c r="K8" s="13"/>
      <c r="L8" s="13">
        <f t="shared" si="3"/>
        <v>12</v>
      </c>
      <c r="M8" s="10">
        <v>45078.0</v>
      </c>
      <c r="N8" s="14">
        <v>45078.0</v>
      </c>
      <c r="O8" s="10">
        <v>46172.0</v>
      </c>
      <c r="P8" s="10">
        <f t="shared" si="4"/>
        <v>36.46666667</v>
      </c>
      <c r="Q8" s="10">
        <v>12.0</v>
      </c>
      <c r="R8" s="10">
        <f t="shared" si="5"/>
        <v>24.46666667</v>
      </c>
      <c r="S8" s="10">
        <f t="shared" si="6"/>
        <v>0</v>
      </c>
      <c r="T8" s="10"/>
      <c r="U8" s="10">
        <f t="shared" si="7"/>
        <v>0</v>
      </c>
    </row>
    <row r="9" ht="14.25" customHeight="1">
      <c r="A9" s="1" t="s">
        <v>18</v>
      </c>
      <c r="B9" s="1">
        <v>36000.0</v>
      </c>
      <c r="C9" s="1">
        <v>100000.0</v>
      </c>
      <c r="D9" s="8">
        <v>8.0</v>
      </c>
      <c r="E9" s="9" t="s">
        <v>33</v>
      </c>
      <c r="F9" s="8" t="s">
        <v>34</v>
      </c>
      <c r="G9" s="11">
        <v>18000.0</v>
      </c>
      <c r="H9" s="10">
        <f t="shared" si="1"/>
        <v>6</v>
      </c>
      <c r="I9" s="10">
        <f t="shared" si="2"/>
        <v>6.466666667</v>
      </c>
      <c r="J9" s="12">
        <v>18000.0</v>
      </c>
      <c r="K9" s="13"/>
      <c r="L9" s="13">
        <f t="shared" si="3"/>
        <v>12</v>
      </c>
      <c r="M9" s="10">
        <v>45078.0</v>
      </c>
      <c r="N9" s="14">
        <v>45078.0</v>
      </c>
      <c r="O9" s="10">
        <v>46172.0</v>
      </c>
      <c r="P9" s="10">
        <f t="shared" si="4"/>
        <v>36.46666667</v>
      </c>
      <c r="Q9" s="10">
        <v>12.0</v>
      </c>
      <c r="R9" s="10">
        <f t="shared" si="5"/>
        <v>24.46666667</v>
      </c>
      <c r="S9" s="10">
        <f t="shared" si="6"/>
        <v>0</v>
      </c>
      <c r="T9" s="10"/>
      <c r="U9" s="10">
        <f t="shared" si="7"/>
        <v>0</v>
      </c>
    </row>
    <row r="10" ht="14.25" customHeight="1">
      <c r="A10" s="1" t="s">
        <v>18</v>
      </c>
      <c r="B10" s="1">
        <v>36000.0</v>
      </c>
      <c r="C10" s="1">
        <v>100000.0</v>
      </c>
      <c r="D10" s="8">
        <v>9.0</v>
      </c>
      <c r="E10" s="9" t="s">
        <v>35</v>
      </c>
      <c r="F10" s="8" t="s">
        <v>36</v>
      </c>
      <c r="G10" s="11">
        <v>18000.0</v>
      </c>
      <c r="H10" s="10">
        <f t="shared" si="1"/>
        <v>6</v>
      </c>
      <c r="I10" s="10">
        <f t="shared" si="2"/>
        <v>6.466666667</v>
      </c>
      <c r="J10" s="12">
        <v>18000.0</v>
      </c>
      <c r="K10" s="13"/>
      <c r="L10" s="13">
        <f t="shared" si="3"/>
        <v>12</v>
      </c>
      <c r="M10" s="10">
        <v>45078.0</v>
      </c>
      <c r="N10" s="14">
        <v>45078.0</v>
      </c>
      <c r="O10" s="10">
        <v>46172.0</v>
      </c>
      <c r="P10" s="10">
        <f t="shared" si="4"/>
        <v>36.46666667</v>
      </c>
      <c r="Q10" s="10">
        <v>12.0</v>
      </c>
      <c r="R10" s="10">
        <f t="shared" si="5"/>
        <v>24.46666667</v>
      </c>
      <c r="S10" s="10">
        <f t="shared" si="6"/>
        <v>0</v>
      </c>
      <c r="T10" s="10"/>
      <c r="U10" s="10">
        <f t="shared" si="7"/>
        <v>0</v>
      </c>
    </row>
    <row r="11" ht="14.25" customHeight="1">
      <c r="A11" s="1" t="s">
        <v>18</v>
      </c>
      <c r="B11" s="1">
        <v>36000.0</v>
      </c>
      <c r="C11" s="1">
        <v>100000.0</v>
      </c>
      <c r="D11" s="8">
        <v>10.0</v>
      </c>
      <c r="E11" s="9" t="s">
        <v>37</v>
      </c>
      <c r="F11" s="8" t="s">
        <v>38</v>
      </c>
      <c r="G11" s="11">
        <v>18000.0</v>
      </c>
      <c r="H11" s="10">
        <f t="shared" si="1"/>
        <v>6</v>
      </c>
      <c r="I11" s="10">
        <f t="shared" si="2"/>
        <v>6.466666667</v>
      </c>
      <c r="J11" s="12">
        <v>18000.0</v>
      </c>
      <c r="K11" s="13"/>
      <c r="L11" s="13">
        <f t="shared" si="3"/>
        <v>12</v>
      </c>
      <c r="M11" s="10">
        <v>45078.0</v>
      </c>
      <c r="N11" s="14">
        <v>45078.0</v>
      </c>
      <c r="O11" s="10">
        <v>46172.0</v>
      </c>
      <c r="P11" s="10">
        <f t="shared" si="4"/>
        <v>36.46666667</v>
      </c>
      <c r="Q11" s="10">
        <v>12.0</v>
      </c>
      <c r="R11" s="10">
        <f t="shared" si="5"/>
        <v>24.46666667</v>
      </c>
      <c r="S11" s="10">
        <f t="shared" si="6"/>
        <v>0</v>
      </c>
      <c r="T11" s="10"/>
      <c r="U11" s="10">
        <f t="shared" si="7"/>
        <v>0</v>
      </c>
    </row>
    <row r="12" ht="14.25" customHeight="1">
      <c r="A12" s="1" t="s">
        <v>18</v>
      </c>
      <c r="B12" s="1">
        <v>36010.0</v>
      </c>
      <c r="C12" s="1">
        <v>100000.0</v>
      </c>
      <c r="D12" s="8">
        <v>11.0</v>
      </c>
      <c r="E12" s="9" t="s">
        <v>39</v>
      </c>
      <c r="F12" s="10" t="s">
        <v>40</v>
      </c>
      <c r="G12" s="15">
        <v>18000.0</v>
      </c>
      <c r="H12" s="10">
        <f t="shared" si="1"/>
        <v>6</v>
      </c>
      <c r="I12" s="10">
        <f t="shared" si="2"/>
        <v>6.463333333</v>
      </c>
      <c r="J12" s="12">
        <v>18000.0</v>
      </c>
      <c r="K12" s="13"/>
      <c r="L12" s="13">
        <f t="shared" si="3"/>
        <v>12.00333333</v>
      </c>
      <c r="M12" s="10">
        <v>45078.0</v>
      </c>
      <c r="N12" s="14">
        <v>45078.0</v>
      </c>
      <c r="O12" s="10">
        <v>46172.0</v>
      </c>
      <c r="P12" s="10">
        <f t="shared" si="4"/>
        <v>36.46666667</v>
      </c>
      <c r="Q12" s="10">
        <v>12.0</v>
      </c>
      <c r="R12" s="10">
        <f t="shared" si="5"/>
        <v>24.46666667</v>
      </c>
      <c r="S12" s="10">
        <f t="shared" si="6"/>
        <v>0</v>
      </c>
      <c r="T12" s="10"/>
      <c r="U12" s="10">
        <f t="shared" si="7"/>
        <v>0</v>
      </c>
    </row>
    <row r="13" ht="14.25" customHeight="1">
      <c r="A13" s="1" t="s">
        <v>18</v>
      </c>
      <c r="B13" s="16">
        <v>36000.0</v>
      </c>
      <c r="C13" s="16">
        <v>100000.0</v>
      </c>
      <c r="D13" s="8">
        <v>12.0</v>
      </c>
      <c r="E13" s="9" t="s">
        <v>41</v>
      </c>
      <c r="F13" s="8" t="s">
        <v>42</v>
      </c>
      <c r="G13" s="11">
        <v>18000.0</v>
      </c>
      <c r="H13" s="10">
        <f t="shared" si="1"/>
        <v>6</v>
      </c>
      <c r="I13" s="10">
        <f t="shared" si="2"/>
        <v>6.466666667</v>
      </c>
      <c r="J13" s="12">
        <v>18000.0</v>
      </c>
      <c r="K13" s="13"/>
      <c r="L13" s="13">
        <f t="shared" si="3"/>
        <v>12</v>
      </c>
      <c r="M13" s="10">
        <v>45078.0</v>
      </c>
      <c r="N13" s="14">
        <v>45078.0</v>
      </c>
      <c r="O13" s="10">
        <v>46172.0</v>
      </c>
      <c r="P13" s="10">
        <f t="shared" si="4"/>
        <v>36.46666667</v>
      </c>
      <c r="Q13" s="10">
        <v>12.0</v>
      </c>
      <c r="R13" s="10">
        <f t="shared" si="5"/>
        <v>24.46666667</v>
      </c>
      <c r="S13" s="10">
        <f t="shared" si="6"/>
        <v>0</v>
      </c>
      <c r="T13" s="10"/>
      <c r="U13" s="10">
        <f t="shared" si="7"/>
        <v>0</v>
      </c>
    </row>
    <row r="14" ht="14.25" customHeight="1">
      <c r="A14" s="1" t="s">
        <v>18</v>
      </c>
      <c r="B14" s="1">
        <v>36000.0</v>
      </c>
      <c r="C14" s="1">
        <v>100000.0</v>
      </c>
      <c r="D14" s="8">
        <v>13.0</v>
      </c>
      <c r="E14" s="9" t="s">
        <v>43</v>
      </c>
      <c r="F14" s="10" t="s">
        <v>44</v>
      </c>
      <c r="G14" s="11">
        <v>18000.0</v>
      </c>
      <c r="H14" s="10">
        <f t="shared" si="1"/>
        <v>6</v>
      </c>
      <c r="I14" s="10">
        <f t="shared" si="2"/>
        <v>6.466666667</v>
      </c>
      <c r="J14" s="12">
        <v>18000.0</v>
      </c>
      <c r="K14" s="13"/>
      <c r="L14" s="13">
        <f t="shared" si="3"/>
        <v>12</v>
      </c>
      <c r="M14" s="10">
        <v>45078.0</v>
      </c>
      <c r="N14" s="14">
        <v>45078.0</v>
      </c>
      <c r="O14" s="10">
        <v>46172.0</v>
      </c>
      <c r="P14" s="10">
        <f t="shared" si="4"/>
        <v>36.46666667</v>
      </c>
      <c r="Q14" s="10">
        <v>12.0</v>
      </c>
      <c r="R14" s="10">
        <f t="shared" si="5"/>
        <v>24.46666667</v>
      </c>
      <c r="S14" s="10">
        <f t="shared" si="6"/>
        <v>0</v>
      </c>
      <c r="T14" s="10"/>
      <c r="U14" s="10">
        <f t="shared" si="7"/>
        <v>0</v>
      </c>
    </row>
    <row r="15" ht="14.25" customHeight="1">
      <c r="A15" s="1" t="s">
        <v>18</v>
      </c>
      <c r="B15" s="1">
        <v>36000.0</v>
      </c>
      <c r="C15" s="1">
        <v>100000.0</v>
      </c>
      <c r="D15" s="8">
        <v>14.0</v>
      </c>
      <c r="E15" s="9" t="s">
        <v>45</v>
      </c>
      <c r="F15" s="10" t="s">
        <v>46</v>
      </c>
      <c r="G15" s="17">
        <v>18000.0</v>
      </c>
      <c r="H15" s="10">
        <f t="shared" si="1"/>
        <v>6</v>
      </c>
      <c r="I15" s="10">
        <f t="shared" si="2"/>
        <v>6.466666667</v>
      </c>
      <c r="J15" s="12">
        <v>18000.0</v>
      </c>
      <c r="K15" s="13"/>
      <c r="L15" s="13">
        <f t="shared" si="3"/>
        <v>12</v>
      </c>
      <c r="M15" s="10">
        <v>45078.0</v>
      </c>
      <c r="N15" s="14">
        <v>45078.0</v>
      </c>
      <c r="O15" s="10">
        <v>46172.0</v>
      </c>
      <c r="P15" s="10">
        <f t="shared" si="4"/>
        <v>36.46666667</v>
      </c>
      <c r="Q15" s="10">
        <v>12.0</v>
      </c>
      <c r="R15" s="10">
        <f t="shared" si="5"/>
        <v>24.46666667</v>
      </c>
      <c r="S15" s="10">
        <f t="shared" si="6"/>
        <v>0</v>
      </c>
      <c r="T15" s="10"/>
      <c r="U15" s="10">
        <f t="shared" si="7"/>
        <v>0</v>
      </c>
    </row>
    <row r="16" ht="14.25" customHeight="1">
      <c r="A16" s="1" t="s">
        <v>18</v>
      </c>
      <c r="B16" s="1">
        <v>36000.0</v>
      </c>
      <c r="C16" s="1">
        <v>100000.0</v>
      </c>
      <c r="D16" s="8">
        <v>15.0</v>
      </c>
      <c r="E16" s="9" t="s">
        <v>47</v>
      </c>
      <c r="F16" s="8" t="s">
        <v>48</v>
      </c>
      <c r="G16" s="11">
        <v>18000.0</v>
      </c>
      <c r="H16" s="10">
        <f t="shared" si="1"/>
        <v>6</v>
      </c>
      <c r="I16" s="10">
        <f t="shared" si="2"/>
        <v>6.466666667</v>
      </c>
      <c r="J16" s="12">
        <v>18000.0</v>
      </c>
      <c r="K16" s="13"/>
      <c r="L16" s="13">
        <f t="shared" si="3"/>
        <v>12</v>
      </c>
      <c r="M16" s="10">
        <v>45078.0</v>
      </c>
      <c r="N16" s="14">
        <v>45078.0</v>
      </c>
      <c r="O16" s="10">
        <v>46172.0</v>
      </c>
      <c r="P16" s="10">
        <f t="shared" si="4"/>
        <v>36.46666667</v>
      </c>
      <c r="Q16" s="10">
        <v>12.0</v>
      </c>
      <c r="R16" s="10">
        <f t="shared" si="5"/>
        <v>24.46666667</v>
      </c>
      <c r="S16" s="10">
        <f t="shared" si="6"/>
        <v>0</v>
      </c>
      <c r="T16" s="10"/>
      <c r="U16" s="10">
        <f t="shared" si="7"/>
        <v>0</v>
      </c>
    </row>
    <row r="17" ht="14.25" customHeight="1">
      <c r="A17" s="1" t="s">
        <v>18</v>
      </c>
      <c r="B17" s="1">
        <v>36000.0</v>
      </c>
      <c r="C17" s="1">
        <v>100000.0</v>
      </c>
      <c r="D17" s="8">
        <v>16.0</v>
      </c>
      <c r="E17" s="9" t="s">
        <v>49</v>
      </c>
      <c r="F17" s="8" t="s">
        <v>50</v>
      </c>
      <c r="G17" s="11">
        <v>18000.0</v>
      </c>
      <c r="H17" s="10">
        <f t="shared" si="1"/>
        <v>6</v>
      </c>
      <c r="I17" s="10">
        <f t="shared" si="2"/>
        <v>6.466666667</v>
      </c>
      <c r="J17" s="12">
        <v>18000.0</v>
      </c>
      <c r="K17" s="13"/>
      <c r="L17" s="13">
        <f t="shared" si="3"/>
        <v>12</v>
      </c>
      <c r="M17" s="10">
        <v>45078.0</v>
      </c>
      <c r="N17" s="14">
        <v>45078.0</v>
      </c>
      <c r="O17" s="10">
        <v>46172.0</v>
      </c>
      <c r="P17" s="10">
        <f t="shared" si="4"/>
        <v>36.46666667</v>
      </c>
      <c r="Q17" s="10">
        <v>12.0</v>
      </c>
      <c r="R17" s="10">
        <f t="shared" si="5"/>
        <v>24.46666667</v>
      </c>
      <c r="S17" s="10">
        <f t="shared" si="6"/>
        <v>0</v>
      </c>
      <c r="T17" s="10"/>
      <c r="U17" s="10">
        <f t="shared" si="7"/>
        <v>0</v>
      </c>
    </row>
    <row r="18" ht="14.25" customHeight="1">
      <c r="A18" s="1" t="s">
        <v>18</v>
      </c>
      <c r="B18" s="1">
        <v>36000.0</v>
      </c>
      <c r="C18" s="1">
        <v>100000.0</v>
      </c>
      <c r="D18" s="8">
        <v>17.0</v>
      </c>
      <c r="E18" s="9" t="s">
        <v>51</v>
      </c>
      <c r="F18" s="10" t="s">
        <v>52</v>
      </c>
      <c r="G18" s="18">
        <v>18000.0</v>
      </c>
      <c r="H18" s="10">
        <f t="shared" si="1"/>
        <v>6</v>
      </c>
      <c r="I18" s="10">
        <f t="shared" si="2"/>
        <v>6.466666667</v>
      </c>
      <c r="J18" s="12">
        <v>18000.0</v>
      </c>
      <c r="K18" s="13"/>
      <c r="L18" s="13">
        <f t="shared" si="3"/>
        <v>12</v>
      </c>
      <c r="M18" s="10">
        <v>45078.0</v>
      </c>
      <c r="N18" s="14">
        <v>45078.0</v>
      </c>
      <c r="O18" s="10">
        <v>46172.0</v>
      </c>
      <c r="P18" s="10">
        <f t="shared" si="4"/>
        <v>36.46666667</v>
      </c>
      <c r="Q18" s="10">
        <v>12.0</v>
      </c>
      <c r="R18" s="10">
        <f t="shared" si="5"/>
        <v>24.46666667</v>
      </c>
      <c r="S18" s="10">
        <f t="shared" si="6"/>
        <v>0</v>
      </c>
      <c r="T18" s="10"/>
      <c r="U18" s="10">
        <f t="shared" si="7"/>
        <v>0</v>
      </c>
    </row>
    <row r="19" ht="14.25" customHeight="1">
      <c r="A19" s="1" t="s">
        <v>18</v>
      </c>
      <c r="B19" s="16">
        <v>36000.0</v>
      </c>
      <c r="C19" s="16">
        <v>100000.0</v>
      </c>
      <c r="D19" s="8">
        <v>18.0</v>
      </c>
      <c r="E19" s="9" t="s">
        <v>53</v>
      </c>
      <c r="F19" s="8" t="s">
        <v>54</v>
      </c>
      <c r="G19" s="11">
        <v>18000.0</v>
      </c>
      <c r="H19" s="10">
        <f t="shared" si="1"/>
        <v>6</v>
      </c>
      <c r="I19" s="10">
        <f t="shared" si="2"/>
        <v>6.466666667</v>
      </c>
      <c r="J19" s="12">
        <v>18000.0</v>
      </c>
      <c r="K19" s="13"/>
      <c r="L19" s="13">
        <f t="shared" si="3"/>
        <v>12</v>
      </c>
      <c r="M19" s="10">
        <v>45078.0</v>
      </c>
      <c r="N19" s="14">
        <v>45078.0</v>
      </c>
      <c r="O19" s="10">
        <v>46172.0</v>
      </c>
      <c r="P19" s="10">
        <f t="shared" si="4"/>
        <v>36.46666667</v>
      </c>
      <c r="Q19" s="10">
        <v>12.0</v>
      </c>
      <c r="R19" s="10">
        <f t="shared" si="5"/>
        <v>24.46666667</v>
      </c>
      <c r="S19" s="10">
        <f t="shared" si="6"/>
        <v>0</v>
      </c>
      <c r="T19" s="10"/>
      <c r="U19" s="10">
        <f t="shared" si="7"/>
        <v>0</v>
      </c>
    </row>
    <row r="20" ht="14.25" customHeight="1">
      <c r="A20" s="1" t="s">
        <v>18</v>
      </c>
      <c r="B20" s="1">
        <v>36000.0</v>
      </c>
      <c r="C20" s="1">
        <v>100000.0</v>
      </c>
      <c r="D20" s="8">
        <v>19.0</v>
      </c>
      <c r="E20" s="9" t="s">
        <v>55</v>
      </c>
      <c r="F20" s="10" t="s">
        <v>56</v>
      </c>
      <c r="G20" s="15">
        <v>18000.0</v>
      </c>
      <c r="H20" s="10">
        <f t="shared" si="1"/>
        <v>6</v>
      </c>
      <c r="I20" s="10">
        <f t="shared" si="2"/>
        <v>6.466666667</v>
      </c>
      <c r="J20" s="12">
        <v>18000.0</v>
      </c>
      <c r="K20" s="13"/>
      <c r="L20" s="13">
        <f t="shared" si="3"/>
        <v>12</v>
      </c>
      <c r="M20" s="10">
        <v>45078.0</v>
      </c>
      <c r="N20" s="14">
        <v>45078.0</v>
      </c>
      <c r="O20" s="10">
        <v>46172.0</v>
      </c>
      <c r="P20" s="10">
        <f t="shared" si="4"/>
        <v>36.46666667</v>
      </c>
      <c r="Q20" s="10">
        <v>12.0</v>
      </c>
      <c r="R20" s="10">
        <f t="shared" si="5"/>
        <v>24.46666667</v>
      </c>
      <c r="S20" s="10">
        <f t="shared" si="6"/>
        <v>0</v>
      </c>
      <c r="T20" s="10"/>
      <c r="U20" s="10">
        <f t="shared" si="7"/>
        <v>0</v>
      </c>
    </row>
    <row r="21" ht="14.25" customHeight="1">
      <c r="A21" s="1" t="s">
        <v>18</v>
      </c>
      <c r="B21" s="1">
        <v>36000.0</v>
      </c>
      <c r="C21" s="1">
        <v>100000.0</v>
      </c>
      <c r="D21" s="8">
        <v>20.0</v>
      </c>
      <c r="E21" s="9" t="s">
        <v>57</v>
      </c>
      <c r="F21" s="10" t="s">
        <v>58</v>
      </c>
      <c r="G21" s="15">
        <v>18000.0</v>
      </c>
      <c r="H21" s="10">
        <f t="shared" si="1"/>
        <v>6</v>
      </c>
      <c r="I21" s="10">
        <f t="shared" si="2"/>
        <v>6.466666667</v>
      </c>
      <c r="J21" s="12">
        <v>18000.0</v>
      </c>
      <c r="K21" s="13"/>
      <c r="L21" s="13">
        <f t="shared" si="3"/>
        <v>12</v>
      </c>
      <c r="M21" s="10">
        <v>45078.0</v>
      </c>
      <c r="N21" s="14">
        <v>45078.0</v>
      </c>
      <c r="O21" s="10">
        <v>46172.0</v>
      </c>
      <c r="P21" s="10">
        <f t="shared" si="4"/>
        <v>36.46666667</v>
      </c>
      <c r="Q21" s="10">
        <v>12.0</v>
      </c>
      <c r="R21" s="10">
        <f t="shared" si="5"/>
        <v>24.46666667</v>
      </c>
      <c r="S21" s="10">
        <f t="shared" si="6"/>
        <v>0</v>
      </c>
      <c r="T21" s="10"/>
      <c r="U21" s="10">
        <f t="shared" si="7"/>
        <v>0</v>
      </c>
    </row>
    <row r="22" ht="14.25" customHeight="1">
      <c r="A22" s="1" t="s">
        <v>18</v>
      </c>
      <c r="B22" s="1">
        <v>36000.0</v>
      </c>
      <c r="C22" s="1">
        <v>100000.0</v>
      </c>
      <c r="D22" s="8">
        <v>21.0</v>
      </c>
      <c r="E22" s="9" t="s">
        <v>59</v>
      </c>
      <c r="F22" s="8" t="s">
        <v>60</v>
      </c>
      <c r="G22" s="11">
        <v>18000.0</v>
      </c>
      <c r="H22" s="10">
        <f t="shared" si="1"/>
        <v>6</v>
      </c>
      <c r="I22" s="10">
        <f t="shared" si="2"/>
        <v>6.466666667</v>
      </c>
      <c r="J22" s="12">
        <v>18000.0</v>
      </c>
      <c r="K22" s="13"/>
      <c r="L22" s="13">
        <f t="shared" si="3"/>
        <v>12</v>
      </c>
      <c r="M22" s="10">
        <v>45078.0</v>
      </c>
      <c r="N22" s="14">
        <v>45078.0</v>
      </c>
      <c r="O22" s="10">
        <v>46172.0</v>
      </c>
      <c r="P22" s="10">
        <f t="shared" si="4"/>
        <v>36.46666667</v>
      </c>
      <c r="Q22" s="10">
        <v>12.0</v>
      </c>
      <c r="R22" s="10">
        <f t="shared" si="5"/>
        <v>24.46666667</v>
      </c>
      <c r="S22" s="10">
        <f t="shared" si="6"/>
        <v>0</v>
      </c>
      <c r="T22" s="10"/>
      <c r="U22" s="10">
        <f t="shared" si="7"/>
        <v>0</v>
      </c>
    </row>
    <row r="23" ht="14.25" customHeight="1">
      <c r="A23" s="1" t="s">
        <v>18</v>
      </c>
      <c r="B23" s="1">
        <v>36000.0</v>
      </c>
      <c r="C23" s="1">
        <v>100000.0</v>
      </c>
      <c r="D23" s="8">
        <v>22.0</v>
      </c>
      <c r="E23" s="9" t="s">
        <v>61</v>
      </c>
      <c r="F23" s="8" t="s">
        <v>62</v>
      </c>
      <c r="G23" s="11">
        <v>18000.0</v>
      </c>
      <c r="H23" s="10">
        <f t="shared" si="1"/>
        <v>6</v>
      </c>
      <c r="I23" s="10">
        <f t="shared" si="2"/>
        <v>6.466666667</v>
      </c>
      <c r="J23" s="12">
        <v>18000.0</v>
      </c>
      <c r="K23" s="19"/>
      <c r="L23" s="13">
        <f t="shared" si="3"/>
        <v>12</v>
      </c>
      <c r="M23" s="10">
        <v>45078.0</v>
      </c>
      <c r="N23" s="14">
        <v>45078.0</v>
      </c>
      <c r="O23" s="10">
        <v>46172.0</v>
      </c>
      <c r="P23" s="10">
        <f t="shared" si="4"/>
        <v>36.46666667</v>
      </c>
      <c r="Q23" s="10">
        <v>12.0</v>
      </c>
      <c r="R23" s="10">
        <f t="shared" si="5"/>
        <v>24.46666667</v>
      </c>
      <c r="S23" s="10">
        <f t="shared" si="6"/>
        <v>0</v>
      </c>
      <c r="T23" s="10"/>
      <c r="U23" s="10">
        <f t="shared" si="7"/>
        <v>0</v>
      </c>
    </row>
    <row r="24" ht="14.25" customHeight="1">
      <c r="A24" s="1" t="s">
        <v>18</v>
      </c>
      <c r="B24" s="1">
        <v>36000.0</v>
      </c>
      <c r="C24" s="1">
        <v>100000.0</v>
      </c>
      <c r="D24" s="8">
        <v>23.0</v>
      </c>
      <c r="E24" s="9" t="s">
        <v>63</v>
      </c>
      <c r="F24" s="10" t="s">
        <v>64</v>
      </c>
      <c r="G24" s="10"/>
      <c r="H24" s="10">
        <f t="shared" si="1"/>
        <v>0</v>
      </c>
      <c r="I24" s="10">
        <f t="shared" si="2"/>
        <v>12.46666667</v>
      </c>
      <c r="J24" s="12">
        <v>36000.0</v>
      </c>
      <c r="K24" s="19"/>
      <c r="L24" s="13">
        <f t="shared" si="3"/>
        <v>12</v>
      </c>
      <c r="M24" s="10">
        <v>45078.0</v>
      </c>
      <c r="N24" s="14">
        <v>45078.0</v>
      </c>
      <c r="O24" s="10">
        <v>46172.0</v>
      </c>
      <c r="P24" s="10">
        <f t="shared" si="4"/>
        <v>36.46666667</v>
      </c>
      <c r="Q24" s="10">
        <v>12.0</v>
      </c>
      <c r="R24" s="10">
        <f t="shared" si="5"/>
        <v>24.46666667</v>
      </c>
      <c r="S24" s="10">
        <f t="shared" si="6"/>
        <v>0</v>
      </c>
      <c r="T24" s="10"/>
      <c r="U24" s="10">
        <f t="shared" si="7"/>
        <v>0</v>
      </c>
    </row>
    <row r="25" ht="14.25" customHeight="1">
      <c r="A25" s="1" t="s">
        <v>18</v>
      </c>
      <c r="B25" s="1">
        <v>36007.0</v>
      </c>
      <c r="C25" s="1">
        <v>100000.0</v>
      </c>
      <c r="D25" s="8">
        <v>24.0</v>
      </c>
      <c r="E25" s="9" t="s">
        <v>65</v>
      </c>
      <c r="F25" s="8" t="s">
        <v>66</v>
      </c>
      <c r="G25" s="11">
        <v>18000.0</v>
      </c>
      <c r="H25" s="10">
        <f t="shared" si="1"/>
        <v>6</v>
      </c>
      <c r="I25" s="10">
        <f t="shared" si="2"/>
        <v>6.464333333</v>
      </c>
      <c r="J25" s="12">
        <v>18000.0</v>
      </c>
      <c r="K25" s="13"/>
      <c r="L25" s="13">
        <f t="shared" si="3"/>
        <v>12.00233333</v>
      </c>
      <c r="M25" s="10">
        <v>45078.0</v>
      </c>
      <c r="N25" s="14">
        <v>45078.0</v>
      </c>
      <c r="O25" s="10">
        <v>46172.0</v>
      </c>
      <c r="P25" s="10">
        <f t="shared" si="4"/>
        <v>36.46666667</v>
      </c>
      <c r="Q25" s="10">
        <v>12.0</v>
      </c>
      <c r="R25" s="10">
        <f t="shared" si="5"/>
        <v>24.46666667</v>
      </c>
      <c r="S25" s="10">
        <f t="shared" si="6"/>
        <v>0</v>
      </c>
      <c r="T25" s="10"/>
      <c r="U25" s="10">
        <f t="shared" si="7"/>
        <v>0</v>
      </c>
    </row>
    <row r="26" ht="14.25" customHeight="1">
      <c r="A26" s="1" t="s">
        <v>18</v>
      </c>
      <c r="B26" s="1">
        <v>36000.0</v>
      </c>
      <c r="C26" s="1">
        <v>100000.0</v>
      </c>
      <c r="D26" s="8">
        <v>25.0</v>
      </c>
      <c r="E26" s="9" t="s">
        <v>67</v>
      </c>
      <c r="F26" s="8" t="s">
        <v>68</v>
      </c>
      <c r="G26" s="11">
        <v>18000.0</v>
      </c>
      <c r="H26" s="10">
        <f t="shared" si="1"/>
        <v>6</v>
      </c>
      <c r="I26" s="10">
        <f t="shared" si="2"/>
        <v>6.466666667</v>
      </c>
      <c r="J26" s="12">
        <v>18000.0</v>
      </c>
      <c r="K26" s="13"/>
      <c r="L26" s="13">
        <f t="shared" si="3"/>
        <v>12</v>
      </c>
      <c r="M26" s="10">
        <v>45078.0</v>
      </c>
      <c r="N26" s="14">
        <v>45078.0</v>
      </c>
      <c r="O26" s="10">
        <v>46172.0</v>
      </c>
      <c r="P26" s="10">
        <f t="shared" si="4"/>
        <v>36.46666667</v>
      </c>
      <c r="Q26" s="10">
        <v>12.0</v>
      </c>
      <c r="R26" s="10">
        <f t="shared" si="5"/>
        <v>24.46666667</v>
      </c>
      <c r="S26" s="10">
        <f t="shared" si="6"/>
        <v>0</v>
      </c>
      <c r="T26" s="10"/>
      <c r="U26" s="10">
        <f t="shared" si="7"/>
        <v>0</v>
      </c>
    </row>
    <row r="27" ht="14.25" customHeight="1">
      <c r="A27" s="1" t="s">
        <v>18</v>
      </c>
      <c r="B27" s="1">
        <v>36000.0</v>
      </c>
      <c r="C27" s="1">
        <v>100000.0</v>
      </c>
      <c r="D27" s="8">
        <v>26.0</v>
      </c>
      <c r="E27" s="9" t="s">
        <v>69</v>
      </c>
      <c r="F27" s="8" t="s">
        <v>70</v>
      </c>
      <c r="G27" s="11">
        <v>18000.0</v>
      </c>
      <c r="H27" s="10">
        <f t="shared" si="1"/>
        <v>6</v>
      </c>
      <c r="I27" s="10">
        <f t="shared" si="2"/>
        <v>6.466666667</v>
      </c>
      <c r="J27" s="12">
        <v>18000.0</v>
      </c>
      <c r="K27" s="13"/>
      <c r="L27" s="13">
        <f t="shared" si="3"/>
        <v>12</v>
      </c>
      <c r="M27" s="10">
        <v>45078.0</v>
      </c>
      <c r="N27" s="14">
        <v>45078.0</v>
      </c>
      <c r="O27" s="10">
        <v>46172.0</v>
      </c>
      <c r="P27" s="10">
        <f t="shared" si="4"/>
        <v>36.46666667</v>
      </c>
      <c r="Q27" s="10">
        <v>12.0</v>
      </c>
      <c r="R27" s="10">
        <f t="shared" si="5"/>
        <v>24.46666667</v>
      </c>
      <c r="S27" s="10">
        <f t="shared" si="6"/>
        <v>0</v>
      </c>
      <c r="T27" s="10"/>
      <c r="U27" s="10">
        <f t="shared" si="7"/>
        <v>0</v>
      </c>
    </row>
    <row r="28" ht="14.25" customHeight="1">
      <c r="A28" s="1" t="s">
        <v>18</v>
      </c>
      <c r="B28" s="1">
        <v>36000.0</v>
      </c>
      <c r="C28" s="1">
        <v>100000.0</v>
      </c>
      <c r="D28" s="8">
        <v>27.0</v>
      </c>
      <c r="E28" s="9" t="s">
        <v>71</v>
      </c>
      <c r="F28" s="8" t="s">
        <v>72</v>
      </c>
      <c r="G28" s="11">
        <v>18000.0</v>
      </c>
      <c r="H28" s="10">
        <f t="shared" si="1"/>
        <v>6</v>
      </c>
      <c r="I28" s="10">
        <f t="shared" si="2"/>
        <v>6.466666667</v>
      </c>
      <c r="J28" s="12">
        <v>18000.0</v>
      </c>
      <c r="K28" s="13"/>
      <c r="L28" s="13">
        <f t="shared" si="3"/>
        <v>12</v>
      </c>
      <c r="M28" s="10">
        <v>45078.0</v>
      </c>
      <c r="N28" s="14">
        <v>45078.0</v>
      </c>
      <c r="O28" s="10">
        <v>46172.0</v>
      </c>
      <c r="P28" s="10">
        <f t="shared" si="4"/>
        <v>36.46666667</v>
      </c>
      <c r="Q28" s="10">
        <v>12.0</v>
      </c>
      <c r="R28" s="10">
        <f t="shared" si="5"/>
        <v>24.46666667</v>
      </c>
      <c r="S28" s="10">
        <f t="shared" si="6"/>
        <v>0</v>
      </c>
      <c r="T28" s="10"/>
      <c r="U28" s="10">
        <f t="shared" si="7"/>
        <v>0</v>
      </c>
    </row>
    <row r="29" ht="14.25" customHeight="1">
      <c r="A29" s="1" t="s">
        <v>18</v>
      </c>
      <c r="B29" s="1">
        <v>36001.0</v>
      </c>
      <c r="C29" s="1">
        <v>100000.0</v>
      </c>
      <c r="D29" s="8">
        <v>28.0</v>
      </c>
      <c r="E29" s="9" t="s">
        <v>73</v>
      </c>
      <c r="F29" s="8" t="s">
        <v>74</v>
      </c>
      <c r="G29" s="11">
        <v>18000.0</v>
      </c>
      <c r="H29" s="10">
        <f t="shared" si="1"/>
        <v>6</v>
      </c>
      <c r="I29" s="10">
        <f t="shared" si="2"/>
        <v>6.466333333</v>
      </c>
      <c r="J29" s="12">
        <v>18000.0</v>
      </c>
      <c r="K29" s="13"/>
      <c r="L29" s="13">
        <f t="shared" si="3"/>
        <v>12.00033333</v>
      </c>
      <c r="M29" s="10">
        <v>45078.0</v>
      </c>
      <c r="N29" s="14">
        <v>45078.0</v>
      </c>
      <c r="O29" s="10">
        <v>46172.0</v>
      </c>
      <c r="P29" s="10">
        <f t="shared" si="4"/>
        <v>36.46666667</v>
      </c>
      <c r="Q29" s="10">
        <v>12.0</v>
      </c>
      <c r="R29" s="10">
        <f t="shared" si="5"/>
        <v>24.46666667</v>
      </c>
      <c r="S29" s="10">
        <f t="shared" si="6"/>
        <v>0</v>
      </c>
      <c r="T29" s="10"/>
      <c r="U29" s="10">
        <f t="shared" si="7"/>
        <v>0</v>
      </c>
    </row>
    <row r="30" ht="14.25" customHeight="1">
      <c r="A30" s="1" t="s">
        <v>18</v>
      </c>
      <c r="B30" s="1">
        <v>36000.0</v>
      </c>
      <c r="C30" s="1">
        <v>100000.0</v>
      </c>
      <c r="D30" s="8">
        <v>29.0</v>
      </c>
      <c r="E30" s="9" t="s">
        <v>75</v>
      </c>
      <c r="F30" s="8" t="s">
        <v>76</v>
      </c>
      <c r="G30" s="11">
        <v>18000.0</v>
      </c>
      <c r="H30" s="10">
        <f t="shared" si="1"/>
        <v>6</v>
      </c>
      <c r="I30" s="10">
        <f t="shared" si="2"/>
        <v>6.466666667</v>
      </c>
      <c r="J30" s="12">
        <v>18000.0</v>
      </c>
      <c r="K30" s="13"/>
      <c r="L30" s="13">
        <f t="shared" si="3"/>
        <v>12</v>
      </c>
      <c r="M30" s="10">
        <v>45078.0</v>
      </c>
      <c r="N30" s="14">
        <v>45078.0</v>
      </c>
      <c r="O30" s="10">
        <v>46172.0</v>
      </c>
      <c r="P30" s="10">
        <f t="shared" si="4"/>
        <v>36.46666667</v>
      </c>
      <c r="Q30" s="10">
        <v>12.0</v>
      </c>
      <c r="R30" s="10">
        <f t="shared" si="5"/>
        <v>24.46666667</v>
      </c>
      <c r="S30" s="10">
        <f t="shared" si="6"/>
        <v>0</v>
      </c>
      <c r="T30" s="10"/>
      <c r="U30" s="10">
        <f t="shared" si="7"/>
        <v>0</v>
      </c>
    </row>
    <row r="31" ht="14.25" customHeight="1">
      <c r="A31" s="1" t="s">
        <v>18</v>
      </c>
      <c r="B31" s="1">
        <v>36000.0</v>
      </c>
      <c r="C31" s="1">
        <v>100000.0</v>
      </c>
      <c r="D31" s="8">
        <v>30.0</v>
      </c>
      <c r="E31" s="9" t="s">
        <v>77</v>
      </c>
      <c r="F31" s="8" t="s">
        <v>78</v>
      </c>
      <c r="G31" s="11">
        <v>18000.0</v>
      </c>
      <c r="H31" s="10">
        <f t="shared" si="1"/>
        <v>6</v>
      </c>
      <c r="I31" s="10">
        <f t="shared" si="2"/>
        <v>6.466666667</v>
      </c>
      <c r="J31" s="12">
        <v>18000.0</v>
      </c>
      <c r="K31" s="13"/>
      <c r="L31" s="13">
        <f t="shared" si="3"/>
        <v>12</v>
      </c>
      <c r="M31" s="10">
        <v>45078.0</v>
      </c>
      <c r="N31" s="14">
        <v>45078.0</v>
      </c>
      <c r="O31" s="10">
        <v>46172.0</v>
      </c>
      <c r="P31" s="10">
        <f t="shared" si="4"/>
        <v>36.46666667</v>
      </c>
      <c r="Q31" s="10">
        <v>12.0</v>
      </c>
      <c r="R31" s="10">
        <f t="shared" si="5"/>
        <v>24.46666667</v>
      </c>
      <c r="S31" s="10">
        <f t="shared" si="6"/>
        <v>0</v>
      </c>
      <c r="T31" s="10"/>
      <c r="U31" s="10">
        <f t="shared" si="7"/>
        <v>0</v>
      </c>
    </row>
    <row r="32" ht="14.25" customHeight="1">
      <c r="A32" s="1" t="s">
        <v>18</v>
      </c>
      <c r="B32" s="1">
        <v>36000.0</v>
      </c>
      <c r="C32" s="1">
        <v>100000.0</v>
      </c>
      <c r="D32" s="8">
        <v>31.0</v>
      </c>
      <c r="E32" s="9" t="s">
        <v>79</v>
      </c>
      <c r="F32" s="8" t="s">
        <v>80</v>
      </c>
      <c r="G32" s="11">
        <v>18000.0</v>
      </c>
      <c r="H32" s="10">
        <f t="shared" si="1"/>
        <v>6</v>
      </c>
      <c r="I32" s="10">
        <f t="shared" si="2"/>
        <v>6.466666667</v>
      </c>
      <c r="J32" s="12">
        <v>18000.0</v>
      </c>
      <c r="K32" s="13"/>
      <c r="L32" s="13">
        <f t="shared" si="3"/>
        <v>12</v>
      </c>
      <c r="M32" s="10">
        <v>45078.0</v>
      </c>
      <c r="N32" s="14">
        <v>45078.0</v>
      </c>
      <c r="O32" s="10">
        <v>46172.0</v>
      </c>
      <c r="P32" s="10">
        <f t="shared" si="4"/>
        <v>36.46666667</v>
      </c>
      <c r="Q32" s="10">
        <v>12.0</v>
      </c>
      <c r="R32" s="10">
        <f t="shared" si="5"/>
        <v>24.46666667</v>
      </c>
      <c r="S32" s="10">
        <f t="shared" si="6"/>
        <v>0</v>
      </c>
      <c r="T32" s="10"/>
      <c r="U32" s="10">
        <f t="shared" si="7"/>
        <v>0</v>
      </c>
    </row>
    <row r="33" ht="14.25" customHeight="1">
      <c r="A33" s="1" t="s">
        <v>18</v>
      </c>
      <c r="B33" s="1">
        <v>36000.0</v>
      </c>
      <c r="C33" s="1">
        <v>100000.0</v>
      </c>
      <c r="D33" s="8">
        <v>32.0</v>
      </c>
      <c r="E33" s="9" t="s">
        <v>81</v>
      </c>
      <c r="F33" s="8" t="s">
        <v>82</v>
      </c>
      <c r="G33" s="11">
        <v>18000.0</v>
      </c>
      <c r="H33" s="10">
        <f t="shared" si="1"/>
        <v>6</v>
      </c>
      <c r="I33" s="10">
        <f t="shared" si="2"/>
        <v>6.466666667</v>
      </c>
      <c r="J33" s="12">
        <v>18000.0</v>
      </c>
      <c r="K33" s="13"/>
      <c r="L33" s="13">
        <f t="shared" si="3"/>
        <v>12</v>
      </c>
      <c r="M33" s="10">
        <v>45078.0</v>
      </c>
      <c r="N33" s="14">
        <v>45078.0</v>
      </c>
      <c r="O33" s="10">
        <v>46172.0</v>
      </c>
      <c r="P33" s="10">
        <f t="shared" si="4"/>
        <v>36.46666667</v>
      </c>
      <c r="Q33" s="10">
        <v>12.0</v>
      </c>
      <c r="R33" s="10">
        <f t="shared" si="5"/>
        <v>24.46666667</v>
      </c>
      <c r="S33" s="10">
        <f t="shared" si="6"/>
        <v>0</v>
      </c>
      <c r="T33" s="10"/>
      <c r="U33" s="10">
        <f t="shared" si="7"/>
        <v>0</v>
      </c>
    </row>
    <row r="34" ht="14.25" customHeight="1">
      <c r="A34" s="1" t="s">
        <v>18</v>
      </c>
      <c r="B34" s="1">
        <v>36000.0</v>
      </c>
      <c r="C34" s="1">
        <v>100000.0</v>
      </c>
      <c r="D34" s="8">
        <v>33.0</v>
      </c>
      <c r="E34" s="9" t="s">
        <v>83</v>
      </c>
      <c r="F34" s="10" t="s">
        <v>84</v>
      </c>
      <c r="G34" s="11">
        <v>18000.0</v>
      </c>
      <c r="H34" s="10">
        <f t="shared" si="1"/>
        <v>6</v>
      </c>
      <c r="I34" s="10">
        <f t="shared" si="2"/>
        <v>6.466666667</v>
      </c>
      <c r="J34" s="12">
        <v>18000.0</v>
      </c>
      <c r="K34" s="13"/>
      <c r="L34" s="13">
        <f t="shared" si="3"/>
        <v>12</v>
      </c>
      <c r="M34" s="10">
        <v>45078.0</v>
      </c>
      <c r="N34" s="14">
        <v>45078.0</v>
      </c>
      <c r="O34" s="10">
        <v>46172.0</v>
      </c>
      <c r="P34" s="10">
        <f t="shared" si="4"/>
        <v>36.46666667</v>
      </c>
      <c r="Q34" s="10">
        <v>12.0</v>
      </c>
      <c r="R34" s="10">
        <f t="shared" si="5"/>
        <v>24.46666667</v>
      </c>
      <c r="S34" s="10">
        <f t="shared" si="6"/>
        <v>0</v>
      </c>
      <c r="T34" s="10"/>
      <c r="U34" s="10">
        <f t="shared" si="7"/>
        <v>0</v>
      </c>
    </row>
    <row r="35" ht="14.25" customHeight="1">
      <c r="A35" s="1" t="s">
        <v>18</v>
      </c>
      <c r="B35" s="1">
        <v>36000.0</v>
      </c>
      <c r="C35" s="1">
        <v>100000.0</v>
      </c>
      <c r="D35" s="8">
        <v>34.0</v>
      </c>
      <c r="E35" s="9" t="s">
        <v>85</v>
      </c>
      <c r="F35" s="8" t="s">
        <v>86</v>
      </c>
      <c r="G35" s="11">
        <v>18000.0</v>
      </c>
      <c r="H35" s="10">
        <f t="shared" si="1"/>
        <v>6</v>
      </c>
      <c r="I35" s="10">
        <f t="shared" si="2"/>
        <v>6.466666667</v>
      </c>
      <c r="J35" s="12">
        <v>18000.0</v>
      </c>
      <c r="K35" s="13"/>
      <c r="L35" s="13">
        <f t="shared" si="3"/>
        <v>12</v>
      </c>
      <c r="M35" s="10">
        <v>45078.0</v>
      </c>
      <c r="N35" s="14">
        <v>45078.0</v>
      </c>
      <c r="O35" s="10">
        <v>46172.0</v>
      </c>
      <c r="P35" s="10">
        <f t="shared" si="4"/>
        <v>36.46666667</v>
      </c>
      <c r="Q35" s="10">
        <v>12.0</v>
      </c>
      <c r="R35" s="10">
        <f t="shared" si="5"/>
        <v>24.46666667</v>
      </c>
      <c r="S35" s="10">
        <f t="shared" si="6"/>
        <v>0</v>
      </c>
      <c r="T35" s="10"/>
      <c r="U35" s="10">
        <f t="shared" si="7"/>
        <v>0</v>
      </c>
    </row>
    <row r="36" ht="14.25" customHeight="1">
      <c r="A36" s="1" t="s">
        <v>18</v>
      </c>
      <c r="B36" s="1">
        <v>36000.0</v>
      </c>
      <c r="C36" s="1">
        <v>100000.0</v>
      </c>
      <c r="D36" s="8">
        <v>35.0</v>
      </c>
      <c r="E36" s="9" t="s">
        <v>87</v>
      </c>
      <c r="F36" s="8" t="s">
        <v>88</v>
      </c>
      <c r="G36" s="11">
        <v>36000.0</v>
      </c>
      <c r="H36" s="10">
        <f t="shared" si="1"/>
        <v>12</v>
      </c>
      <c r="I36" s="10">
        <f t="shared" si="2"/>
        <v>0.4666666667</v>
      </c>
      <c r="J36" s="13"/>
      <c r="K36" s="13"/>
      <c r="L36" s="13">
        <f t="shared" si="3"/>
        <v>12</v>
      </c>
      <c r="M36" s="10">
        <v>45078.0</v>
      </c>
      <c r="N36" s="14">
        <v>45078.0</v>
      </c>
      <c r="O36" s="10">
        <v>46172.0</v>
      </c>
      <c r="P36" s="10">
        <f t="shared" si="4"/>
        <v>36.46666667</v>
      </c>
      <c r="Q36" s="10">
        <v>12.0</v>
      </c>
      <c r="R36" s="10">
        <f t="shared" si="5"/>
        <v>24.46666667</v>
      </c>
      <c r="S36" s="10">
        <f t="shared" si="6"/>
        <v>0</v>
      </c>
      <c r="T36" s="10"/>
      <c r="U36" s="10">
        <f t="shared" si="7"/>
        <v>0</v>
      </c>
    </row>
    <row r="37" ht="14.25" customHeight="1">
      <c r="A37" s="1" t="s">
        <v>18</v>
      </c>
      <c r="B37" s="1">
        <v>36000.0</v>
      </c>
      <c r="C37" s="1">
        <v>100000.0</v>
      </c>
      <c r="D37" s="8">
        <v>36.0</v>
      </c>
      <c r="E37" s="9" t="s">
        <v>89</v>
      </c>
      <c r="F37" s="8" t="s">
        <v>90</v>
      </c>
      <c r="G37" s="11">
        <v>18000.0</v>
      </c>
      <c r="H37" s="10">
        <f t="shared" si="1"/>
        <v>6</v>
      </c>
      <c r="I37" s="10">
        <f t="shared" si="2"/>
        <v>6.466666667</v>
      </c>
      <c r="J37" s="12">
        <v>18000.0</v>
      </c>
      <c r="K37" s="13"/>
      <c r="L37" s="13">
        <f t="shared" si="3"/>
        <v>12</v>
      </c>
      <c r="M37" s="10">
        <v>45078.0</v>
      </c>
      <c r="N37" s="14">
        <v>45078.0</v>
      </c>
      <c r="O37" s="10">
        <v>46172.0</v>
      </c>
      <c r="P37" s="10">
        <f t="shared" si="4"/>
        <v>36.46666667</v>
      </c>
      <c r="Q37" s="10">
        <v>12.0</v>
      </c>
      <c r="R37" s="10">
        <f t="shared" si="5"/>
        <v>24.46666667</v>
      </c>
      <c r="S37" s="10">
        <f t="shared" si="6"/>
        <v>0</v>
      </c>
      <c r="T37" s="10"/>
      <c r="U37" s="10">
        <f t="shared" si="7"/>
        <v>0</v>
      </c>
    </row>
    <row r="38" ht="14.25" customHeight="1">
      <c r="A38" s="1" t="s">
        <v>18</v>
      </c>
      <c r="B38" s="1">
        <v>36000.0</v>
      </c>
      <c r="C38" s="1">
        <v>100000.0</v>
      </c>
      <c r="D38" s="8">
        <v>37.0</v>
      </c>
      <c r="E38" s="9" t="s">
        <v>91</v>
      </c>
      <c r="F38" s="8" t="s">
        <v>92</v>
      </c>
      <c r="G38" s="11">
        <v>18000.0</v>
      </c>
      <c r="H38" s="10">
        <f t="shared" si="1"/>
        <v>6</v>
      </c>
      <c r="I38" s="10">
        <f t="shared" si="2"/>
        <v>6.466666667</v>
      </c>
      <c r="J38" s="12">
        <v>18000.0</v>
      </c>
      <c r="K38" s="13"/>
      <c r="L38" s="13">
        <f t="shared" si="3"/>
        <v>12</v>
      </c>
      <c r="M38" s="10">
        <v>45078.0</v>
      </c>
      <c r="N38" s="14">
        <v>45078.0</v>
      </c>
      <c r="O38" s="10">
        <v>46172.0</v>
      </c>
      <c r="P38" s="10">
        <f t="shared" si="4"/>
        <v>36.46666667</v>
      </c>
      <c r="Q38" s="10">
        <v>12.0</v>
      </c>
      <c r="R38" s="10">
        <f t="shared" si="5"/>
        <v>24.46666667</v>
      </c>
      <c r="S38" s="10">
        <f t="shared" si="6"/>
        <v>0</v>
      </c>
      <c r="T38" s="10"/>
      <c r="U38" s="10">
        <f t="shared" si="7"/>
        <v>0</v>
      </c>
    </row>
    <row r="39" ht="14.25" customHeight="1">
      <c r="A39" s="1" t="s">
        <v>18</v>
      </c>
      <c r="B39" s="1">
        <v>36000.0</v>
      </c>
      <c r="C39" s="1">
        <v>100000.0</v>
      </c>
      <c r="D39" s="8">
        <v>38.0</v>
      </c>
      <c r="E39" s="9" t="s">
        <v>93</v>
      </c>
      <c r="F39" s="8" t="s">
        <v>94</v>
      </c>
      <c r="G39" s="11">
        <v>18000.0</v>
      </c>
      <c r="H39" s="10">
        <f t="shared" si="1"/>
        <v>6</v>
      </c>
      <c r="I39" s="10">
        <f t="shared" si="2"/>
        <v>6.466666667</v>
      </c>
      <c r="J39" s="12">
        <v>18000.0</v>
      </c>
      <c r="K39" s="13"/>
      <c r="L39" s="13">
        <f t="shared" si="3"/>
        <v>12</v>
      </c>
      <c r="M39" s="10">
        <v>45078.0</v>
      </c>
      <c r="N39" s="14">
        <v>45078.0</v>
      </c>
      <c r="O39" s="10">
        <v>46172.0</v>
      </c>
      <c r="P39" s="10">
        <f t="shared" si="4"/>
        <v>36.46666667</v>
      </c>
      <c r="Q39" s="10">
        <v>12.0</v>
      </c>
      <c r="R39" s="10">
        <f t="shared" si="5"/>
        <v>24.46666667</v>
      </c>
      <c r="S39" s="10">
        <f t="shared" si="6"/>
        <v>0</v>
      </c>
      <c r="T39" s="10"/>
      <c r="U39" s="10">
        <f t="shared" si="7"/>
        <v>0</v>
      </c>
    </row>
    <row r="40" ht="14.25" customHeight="1">
      <c r="A40" s="1" t="s">
        <v>18</v>
      </c>
      <c r="B40" s="1">
        <v>36000.0</v>
      </c>
      <c r="C40" s="1">
        <v>100000.0</v>
      </c>
      <c r="D40" s="8">
        <v>39.0</v>
      </c>
      <c r="E40" s="9" t="s">
        <v>95</v>
      </c>
      <c r="F40" s="8" t="s">
        <v>96</v>
      </c>
      <c r="G40" s="11">
        <v>18000.0</v>
      </c>
      <c r="H40" s="10">
        <f t="shared" si="1"/>
        <v>6</v>
      </c>
      <c r="I40" s="10">
        <f t="shared" si="2"/>
        <v>6.466666667</v>
      </c>
      <c r="J40" s="12">
        <v>18000.0</v>
      </c>
      <c r="K40" s="13"/>
      <c r="L40" s="13">
        <f t="shared" si="3"/>
        <v>12</v>
      </c>
      <c r="M40" s="10">
        <v>45078.0</v>
      </c>
      <c r="N40" s="14">
        <v>45078.0</v>
      </c>
      <c r="O40" s="10">
        <v>46172.0</v>
      </c>
      <c r="P40" s="10">
        <f t="shared" si="4"/>
        <v>36.46666667</v>
      </c>
      <c r="Q40" s="10">
        <v>12.0</v>
      </c>
      <c r="R40" s="10">
        <f t="shared" si="5"/>
        <v>24.46666667</v>
      </c>
      <c r="S40" s="10">
        <f t="shared" si="6"/>
        <v>0</v>
      </c>
      <c r="T40" s="10"/>
      <c r="U40" s="10">
        <f t="shared" si="7"/>
        <v>0</v>
      </c>
    </row>
    <row r="41" ht="14.25" customHeight="1">
      <c r="A41" s="1" t="s">
        <v>18</v>
      </c>
      <c r="B41" s="1">
        <v>36000.0</v>
      </c>
      <c r="C41" s="1">
        <v>100000.0</v>
      </c>
      <c r="D41" s="8">
        <v>40.0</v>
      </c>
      <c r="E41" s="9" t="s">
        <v>97</v>
      </c>
      <c r="F41" s="10" t="s">
        <v>98</v>
      </c>
      <c r="G41" s="17">
        <v>18000.0</v>
      </c>
      <c r="H41" s="10">
        <f t="shared" si="1"/>
        <v>6</v>
      </c>
      <c r="I41" s="10">
        <f t="shared" si="2"/>
        <v>6.466666667</v>
      </c>
      <c r="J41" s="12">
        <v>18000.0</v>
      </c>
      <c r="K41" s="13"/>
      <c r="L41" s="13">
        <f t="shared" si="3"/>
        <v>12</v>
      </c>
      <c r="M41" s="10">
        <v>45078.0</v>
      </c>
      <c r="N41" s="14">
        <v>45078.0</v>
      </c>
      <c r="O41" s="10">
        <v>46172.0</v>
      </c>
      <c r="P41" s="10">
        <f t="shared" si="4"/>
        <v>36.46666667</v>
      </c>
      <c r="Q41" s="10">
        <v>12.0</v>
      </c>
      <c r="R41" s="10">
        <f t="shared" si="5"/>
        <v>24.46666667</v>
      </c>
      <c r="S41" s="10">
        <f t="shared" si="6"/>
        <v>0</v>
      </c>
      <c r="T41" s="10"/>
      <c r="U41" s="10">
        <f t="shared" si="7"/>
        <v>0</v>
      </c>
    </row>
    <row r="42" ht="14.25" customHeight="1">
      <c r="A42" s="1" t="s">
        <v>18</v>
      </c>
      <c r="B42" s="1">
        <v>36000.0</v>
      </c>
      <c r="C42" s="1">
        <v>100000.0</v>
      </c>
      <c r="D42" s="8">
        <v>41.0</v>
      </c>
      <c r="E42" s="9" t="s">
        <v>99</v>
      </c>
      <c r="F42" s="8" t="s">
        <v>100</v>
      </c>
      <c r="G42" s="11">
        <v>18000.0</v>
      </c>
      <c r="H42" s="10">
        <f t="shared" si="1"/>
        <v>6</v>
      </c>
      <c r="I42" s="10">
        <f t="shared" si="2"/>
        <v>6.466666667</v>
      </c>
      <c r="J42" s="12">
        <v>18000.0</v>
      </c>
      <c r="K42" s="13"/>
      <c r="L42" s="13">
        <f t="shared" si="3"/>
        <v>12</v>
      </c>
      <c r="M42" s="10">
        <v>45078.0</v>
      </c>
      <c r="N42" s="14">
        <v>45078.0</v>
      </c>
      <c r="O42" s="10">
        <v>46172.0</v>
      </c>
      <c r="P42" s="10">
        <f t="shared" si="4"/>
        <v>36.46666667</v>
      </c>
      <c r="Q42" s="10">
        <v>12.0</v>
      </c>
      <c r="R42" s="10">
        <f t="shared" si="5"/>
        <v>24.46666667</v>
      </c>
      <c r="S42" s="10">
        <f t="shared" si="6"/>
        <v>0</v>
      </c>
      <c r="T42" s="10"/>
      <c r="U42" s="10">
        <f t="shared" si="7"/>
        <v>0</v>
      </c>
    </row>
    <row r="43" ht="14.25" customHeight="1">
      <c r="A43" s="1" t="s">
        <v>18</v>
      </c>
      <c r="B43" s="1">
        <v>36000.0</v>
      </c>
      <c r="C43" s="1">
        <v>100000.0</v>
      </c>
      <c r="D43" s="8">
        <v>42.0</v>
      </c>
      <c r="E43" s="9" t="s">
        <v>101</v>
      </c>
      <c r="F43" s="8" t="s">
        <v>102</v>
      </c>
      <c r="G43" s="11">
        <v>18000.0</v>
      </c>
      <c r="H43" s="10">
        <f t="shared" si="1"/>
        <v>6</v>
      </c>
      <c r="I43" s="10">
        <f t="shared" si="2"/>
        <v>6.466666667</v>
      </c>
      <c r="J43" s="12">
        <v>18000.0</v>
      </c>
      <c r="K43" s="13"/>
      <c r="L43" s="13">
        <f t="shared" si="3"/>
        <v>12</v>
      </c>
      <c r="M43" s="10">
        <v>45078.0</v>
      </c>
      <c r="N43" s="14">
        <v>45078.0</v>
      </c>
      <c r="O43" s="10">
        <v>46172.0</v>
      </c>
      <c r="P43" s="10">
        <f t="shared" si="4"/>
        <v>36.46666667</v>
      </c>
      <c r="Q43" s="10">
        <v>12.0</v>
      </c>
      <c r="R43" s="10">
        <f t="shared" si="5"/>
        <v>24.46666667</v>
      </c>
      <c r="S43" s="10">
        <f t="shared" si="6"/>
        <v>0</v>
      </c>
      <c r="T43" s="10"/>
      <c r="U43" s="10">
        <f t="shared" si="7"/>
        <v>0</v>
      </c>
    </row>
    <row r="44" ht="14.25" customHeight="1">
      <c r="A44" s="1" t="s">
        <v>18</v>
      </c>
      <c r="B44" s="1">
        <v>72000.0</v>
      </c>
      <c r="C44" s="1">
        <v>100000.0</v>
      </c>
      <c r="D44" s="8">
        <v>43.0</v>
      </c>
      <c r="E44" s="9" t="s">
        <v>103</v>
      </c>
      <c r="F44" s="20" t="s">
        <v>104</v>
      </c>
      <c r="G44" s="11">
        <v>18000.0</v>
      </c>
      <c r="H44" s="10">
        <f t="shared" si="1"/>
        <v>6</v>
      </c>
      <c r="I44" s="10">
        <f t="shared" si="2"/>
        <v>-5.533333333</v>
      </c>
      <c r="J44" s="13"/>
      <c r="K44" s="13"/>
      <c r="L44" s="13">
        <f t="shared" si="3"/>
        <v>24</v>
      </c>
      <c r="M44" s="10">
        <v>45078.0</v>
      </c>
      <c r="N44" s="14">
        <v>45078.0</v>
      </c>
      <c r="O44" s="10">
        <v>46172.0</v>
      </c>
      <c r="P44" s="10">
        <f t="shared" si="4"/>
        <v>36.46666667</v>
      </c>
      <c r="Q44" s="10">
        <v>12.0</v>
      </c>
      <c r="R44" s="10">
        <f t="shared" si="5"/>
        <v>24.46666667</v>
      </c>
      <c r="S44" s="10">
        <f t="shared" si="6"/>
        <v>0</v>
      </c>
      <c r="T44" s="10"/>
      <c r="U44" s="10">
        <f t="shared" si="7"/>
        <v>0</v>
      </c>
    </row>
    <row r="45" ht="14.25" customHeight="1">
      <c r="A45" s="1" t="s">
        <v>18</v>
      </c>
      <c r="B45" s="1">
        <v>72000.0</v>
      </c>
      <c r="C45" s="1">
        <v>100000.0</v>
      </c>
      <c r="D45" s="8">
        <v>44.0</v>
      </c>
      <c r="E45" s="9" t="s">
        <v>105</v>
      </c>
      <c r="F45" s="20" t="s">
        <v>106</v>
      </c>
      <c r="G45" s="11">
        <v>18000.0</v>
      </c>
      <c r="H45" s="10">
        <f t="shared" si="1"/>
        <v>6</v>
      </c>
      <c r="I45" s="10">
        <f t="shared" si="2"/>
        <v>-5.533333333</v>
      </c>
      <c r="J45" s="13"/>
      <c r="K45" s="13"/>
      <c r="L45" s="13">
        <f t="shared" si="3"/>
        <v>24</v>
      </c>
      <c r="M45" s="10">
        <v>45078.0</v>
      </c>
      <c r="N45" s="14">
        <v>45078.0</v>
      </c>
      <c r="O45" s="10">
        <v>46172.0</v>
      </c>
      <c r="P45" s="10">
        <f t="shared" si="4"/>
        <v>36.46666667</v>
      </c>
      <c r="Q45" s="10">
        <v>12.0</v>
      </c>
      <c r="R45" s="10">
        <f t="shared" si="5"/>
        <v>24.46666667</v>
      </c>
      <c r="S45" s="10">
        <f t="shared" si="6"/>
        <v>0</v>
      </c>
      <c r="T45" s="10"/>
      <c r="U45" s="10">
        <f t="shared" si="7"/>
        <v>0</v>
      </c>
    </row>
    <row r="46" ht="14.25" customHeight="1">
      <c r="A46" s="21" t="s">
        <v>107</v>
      </c>
      <c r="B46" s="1">
        <v>36000.0</v>
      </c>
      <c r="C46" s="1">
        <v>100000.0</v>
      </c>
      <c r="D46" s="8">
        <v>45.0</v>
      </c>
      <c r="E46" s="22" t="s">
        <v>108</v>
      </c>
      <c r="F46" s="8" t="s">
        <v>109</v>
      </c>
      <c r="G46" s="11">
        <v>36000.0</v>
      </c>
      <c r="H46" s="10">
        <f t="shared" si="1"/>
        <v>12</v>
      </c>
      <c r="I46" s="10">
        <f t="shared" si="2"/>
        <v>-5.633333333</v>
      </c>
      <c r="J46" s="19"/>
      <c r="K46" s="19"/>
      <c r="L46" s="13">
        <f t="shared" si="3"/>
        <v>12</v>
      </c>
      <c r="M46" s="10">
        <v>45078.0</v>
      </c>
      <c r="N46" s="14">
        <v>45261.0</v>
      </c>
      <c r="O46" s="10">
        <v>46172.0</v>
      </c>
      <c r="P46" s="10">
        <f t="shared" si="4"/>
        <v>30.36666667</v>
      </c>
      <c r="Q46" s="10">
        <v>12.0</v>
      </c>
      <c r="R46" s="10">
        <f t="shared" si="5"/>
        <v>18.36666667</v>
      </c>
      <c r="S46" s="10">
        <f t="shared" si="6"/>
        <v>6.1</v>
      </c>
      <c r="T46" s="10">
        <v>6.0</v>
      </c>
      <c r="U46" s="10">
        <f t="shared" si="7"/>
        <v>18000</v>
      </c>
    </row>
    <row r="47" ht="14.25" customHeight="1">
      <c r="A47" s="1" t="s">
        <v>18</v>
      </c>
      <c r="B47" s="1">
        <v>36000.0</v>
      </c>
      <c r="C47" s="1">
        <v>100000.0</v>
      </c>
      <c r="D47" s="8">
        <v>46.0</v>
      </c>
      <c r="E47" s="9" t="s">
        <v>110</v>
      </c>
      <c r="F47" s="8" t="s">
        <v>111</v>
      </c>
      <c r="G47" s="11">
        <v>18000.0</v>
      </c>
      <c r="H47" s="10">
        <f t="shared" si="1"/>
        <v>6</v>
      </c>
      <c r="I47" s="10">
        <f t="shared" si="2"/>
        <v>6.466666667</v>
      </c>
      <c r="J47" s="12">
        <v>18000.0</v>
      </c>
      <c r="K47" s="19"/>
      <c r="L47" s="13">
        <f t="shared" si="3"/>
        <v>12</v>
      </c>
      <c r="M47" s="10">
        <v>45078.0</v>
      </c>
      <c r="N47" s="14">
        <v>45078.0</v>
      </c>
      <c r="O47" s="10">
        <v>46172.0</v>
      </c>
      <c r="P47" s="10">
        <f t="shared" si="4"/>
        <v>36.46666667</v>
      </c>
      <c r="Q47" s="10">
        <v>12.0</v>
      </c>
      <c r="R47" s="10">
        <f t="shared" si="5"/>
        <v>24.46666667</v>
      </c>
      <c r="S47" s="10">
        <f t="shared" si="6"/>
        <v>0</v>
      </c>
      <c r="T47" s="10"/>
      <c r="U47" s="10">
        <f t="shared" si="7"/>
        <v>0</v>
      </c>
    </row>
    <row r="48" ht="14.25" customHeight="1">
      <c r="A48" s="21" t="s">
        <v>107</v>
      </c>
      <c r="B48" s="1">
        <v>36000.0</v>
      </c>
      <c r="C48" s="1">
        <v>100000.0</v>
      </c>
      <c r="D48" s="8">
        <v>47.0</v>
      </c>
      <c r="E48" s="22" t="s">
        <v>112</v>
      </c>
      <c r="F48" s="8" t="s">
        <v>113</v>
      </c>
      <c r="G48" s="11">
        <v>18000.0</v>
      </c>
      <c r="H48" s="10">
        <f t="shared" si="1"/>
        <v>6</v>
      </c>
      <c r="I48" s="10">
        <f t="shared" si="2"/>
        <v>2.4</v>
      </c>
      <c r="J48" s="12">
        <v>6000.0</v>
      </c>
      <c r="K48" s="19"/>
      <c r="L48" s="13">
        <f t="shared" si="3"/>
        <v>12</v>
      </c>
      <c r="M48" s="10">
        <v>45078.0</v>
      </c>
      <c r="N48" s="14">
        <v>45200.0</v>
      </c>
      <c r="O48" s="10">
        <v>46172.0</v>
      </c>
      <c r="P48" s="10">
        <f t="shared" si="4"/>
        <v>32.4</v>
      </c>
      <c r="Q48" s="10">
        <v>12.0</v>
      </c>
      <c r="R48" s="10">
        <f t="shared" si="5"/>
        <v>20.4</v>
      </c>
      <c r="S48" s="10">
        <f t="shared" si="6"/>
        <v>4.066666667</v>
      </c>
      <c r="T48" s="10">
        <v>4.0</v>
      </c>
      <c r="U48" s="10">
        <f t="shared" si="7"/>
        <v>12000</v>
      </c>
    </row>
    <row r="49" ht="14.25" customHeight="1">
      <c r="A49" s="1" t="s">
        <v>18</v>
      </c>
      <c r="B49" s="1">
        <v>36000.0</v>
      </c>
      <c r="C49" s="1">
        <v>100000.0</v>
      </c>
      <c r="D49" s="8">
        <v>48.0</v>
      </c>
      <c r="E49" s="9" t="s">
        <v>114</v>
      </c>
      <c r="F49" s="10" t="s">
        <v>115</v>
      </c>
      <c r="G49" s="11">
        <v>18000.0</v>
      </c>
      <c r="H49" s="10">
        <f t="shared" si="1"/>
        <v>6</v>
      </c>
      <c r="I49" s="10">
        <f t="shared" si="2"/>
        <v>6.466666667</v>
      </c>
      <c r="J49" s="12">
        <v>18000.0</v>
      </c>
      <c r="K49" s="13"/>
      <c r="L49" s="13">
        <f t="shared" si="3"/>
        <v>12</v>
      </c>
      <c r="M49" s="10">
        <v>45078.0</v>
      </c>
      <c r="N49" s="14">
        <v>45078.0</v>
      </c>
      <c r="O49" s="10">
        <v>46172.0</v>
      </c>
      <c r="P49" s="10">
        <f t="shared" si="4"/>
        <v>36.46666667</v>
      </c>
      <c r="Q49" s="10">
        <v>12.0</v>
      </c>
      <c r="R49" s="10">
        <f t="shared" si="5"/>
        <v>24.46666667</v>
      </c>
      <c r="S49" s="10">
        <f t="shared" si="6"/>
        <v>0</v>
      </c>
      <c r="T49" s="10"/>
      <c r="U49" s="10">
        <f t="shared" si="7"/>
        <v>0</v>
      </c>
    </row>
    <row r="50" ht="14.25" customHeight="1">
      <c r="A50" s="23" t="s">
        <v>116</v>
      </c>
      <c r="B50" s="23"/>
      <c r="C50" s="23">
        <v>100000.0</v>
      </c>
      <c r="D50" s="19">
        <v>49.0</v>
      </c>
      <c r="E50" s="19" t="s">
        <v>117</v>
      </c>
      <c r="F50" s="19" t="s">
        <v>118</v>
      </c>
      <c r="G50" s="24">
        <v>36000.0</v>
      </c>
      <c r="H50" s="13">
        <f t="shared" si="1"/>
        <v>12</v>
      </c>
      <c r="I50" s="13">
        <f t="shared" si="2"/>
        <v>-2.966666667</v>
      </c>
      <c r="J50" s="25"/>
      <c r="K50" s="25">
        <v>45894.0</v>
      </c>
      <c r="L50" s="13">
        <f t="shared" si="3"/>
        <v>0</v>
      </c>
      <c r="M50" s="13">
        <v>45078.0</v>
      </c>
      <c r="N50" s="26">
        <v>45901.0</v>
      </c>
      <c r="O50" s="13">
        <v>46172.0</v>
      </c>
      <c r="P50" s="13">
        <f t="shared" si="4"/>
        <v>9.033333333</v>
      </c>
      <c r="Q50" s="13">
        <v>0.0</v>
      </c>
      <c r="R50" s="13">
        <f t="shared" si="5"/>
        <v>9.033333333</v>
      </c>
      <c r="S50" s="13">
        <f t="shared" si="6"/>
        <v>27.43333333</v>
      </c>
      <c r="T50" s="25">
        <v>27.0</v>
      </c>
      <c r="U50" s="10">
        <f t="shared" si="7"/>
        <v>81000</v>
      </c>
    </row>
    <row r="51" ht="14.25" customHeight="1">
      <c r="A51" s="21" t="s">
        <v>116</v>
      </c>
      <c r="B51" s="1"/>
      <c r="C51" s="1">
        <v>100000.0</v>
      </c>
      <c r="D51" s="8">
        <v>50.0</v>
      </c>
      <c r="E51" s="27" t="s">
        <v>119</v>
      </c>
      <c r="F51" s="28" t="s">
        <v>120</v>
      </c>
      <c r="G51" s="29">
        <v>36000.0</v>
      </c>
      <c r="H51" s="13">
        <f t="shared" si="1"/>
        <v>12</v>
      </c>
      <c r="I51" s="13">
        <f t="shared" si="2"/>
        <v>-3.966666667</v>
      </c>
      <c r="J51" s="25"/>
      <c r="K51" s="25" t="s">
        <v>121</v>
      </c>
      <c r="L51" s="13">
        <f t="shared" si="3"/>
        <v>0</v>
      </c>
      <c r="M51" s="13">
        <v>45078.0</v>
      </c>
      <c r="N51" s="26">
        <v>45931.0</v>
      </c>
      <c r="O51" s="13">
        <v>46172.0</v>
      </c>
      <c r="P51" s="13">
        <f t="shared" si="4"/>
        <v>8.033333333</v>
      </c>
      <c r="Q51" s="13">
        <v>0.0</v>
      </c>
      <c r="R51" s="13">
        <f t="shared" si="5"/>
        <v>8.033333333</v>
      </c>
      <c r="S51" s="13">
        <f t="shared" si="6"/>
        <v>28.43333333</v>
      </c>
      <c r="T51" s="18">
        <v>28.0</v>
      </c>
      <c r="U51" s="10">
        <f t="shared" si="7"/>
        <v>84000</v>
      </c>
    </row>
    <row r="52" ht="14.25" customHeight="1">
      <c r="A52" s="21" t="s">
        <v>122</v>
      </c>
      <c r="B52" s="1"/>
      <c r="C52" s="1"/>
      <c r="D52" s="8">
        <v>51.0</v>
      </c>
      <c r="E52" s="8" t="s">
        <v>123</v>
      </c>
      <c r="F52" s="10"/>
      <c r="G52" s="10"/>
      <c r="H52" s="10">
        <f t="shared" si="1"/>
        <v>0</v>
      </c>
      <c r="I52" s="10">
        <f t="shared" si="2"/>
        <v>0</v>
      </c>
      <c r="J52" s="13"/>
      <c r="K52" s="13"/>
      <c r="L52" s="13">
        <f t="shared" si="3"/>
        <v>0</v>
      </c>
      <c r="M52" s="10">
        <v>45078.0</v>
      </c>
      <c r="N52" s="14">
        <v>46172.0</v>
      </c>
      <c r="O52" s="10">
        <v>46172.0</v>
      </c>
      <c r="P52" s="10">
        <f t="shared" si="4"/>
        <v>0</v>
      </c>
      <c r="Q52" s="10">
        <v>0.0</v>
      </c>
      <c r="R52" s="10">
        <f t="shared" si="5"/>
        <v>0</v>
      </c>
      <c r="S52" s="10">
        <f t="shared" si="6"/>
        <v>36.46666667</v>
      </c>
      <c r="T52" s="10">
        <v>36.0</v>
      </c>
      <c r="U52" s="10">
        <f t="shared" si="7"/>
        <v>108000</v>
      </c>
    </row>
    <row r="53" ht="14.25" customHeight="1">
      <c r="A53" s="21" t="s">
        <v>107</v>
      </c>
      <c r="B53" s="1">
        <v>30000.0</v>
      </c>
      <c r="C53" s="1">
        <v>100000.0</v>
      </c>
      <c r="D53" s="8">
        <v>52.0</v>
      </c>
      <c r="E53" s="22" t="s">
        <v>124</v>
      </c>
      <c r="F53" s="8" t="s">
        <v>125</v>
      </c>
      <c r="G53" s="11">
        <v>15000.0</v>
      </c>
      <c r="H53" s="10">
        <f t="shared" ref="H53:H259" si="8">G53/2500</f>
        <v>6</v>
      </c>
      <c r="I53" s="10">
        <f t="shared" si="2"/>
        <v>-3.7</v>
      </c>
      <c r="J53" s="19"/>
      <c r="K53" s="19"/>
      <c r="L53" s="13">
        <f t="shared" ref="L53:L259" si="9">B53/2500</f>
        <v>12</v>
      </c>
      <c r="M53" s="10">
        <v>45078.0</v>
      </c>
      <c r="N53" s="14">
        <v>45383.0</v>
      </c>
      <c r="O53" s="10">
        <v>46172.0</v>
      </c>
      <c r="P53" s="10">
        <f t="shared" si="4"/>
        <v>26.3</v>
      </c>
      <c r="Q53" s="10">
        <v>12.0</v>
      </c>
      <c r="R53" s="10">
        <f t="shared" si="5"/>
        <v>14.3</v>
      </c>
      <c r="S53" s="10">
        <f t="shared" si="6"/>
        <v>10.16666667</v>
      </c>
      <c r="T53" s="10">
        <v>10.0</v>
      </c>
      <c r="U53" s="10">
        <f t="shared" ref="U53:U259" si="10">T53*2500</f>
        <v>25000</v>
      </c>
    </row>
    <row r="54" ht="14.25" customHeight="1">
      <c r="A54" s="1" t="s">
        <v>18</v>
      </c>
      <c r="B54" s="1">
        <v>30000.0</v>
      </c>
      <c r="C54" s="1">
        <v>100000.0</v>
      </c>
      <c r="D54" s="8">
        <v>53.0</v>
      </c>
      <c r="E54" s="9" t="s">
        <v>126</v>
      </c>
      <c r="F54" s="10" t="s">
        <v>127</v>
      </c>
      <c r="G54" s="30">
        <v>15000.0</v>
      </c>
      <c r="H54" s="10">
        <f t="shared" si="8"/>
        <v>6</v>
      </c>
      <c r="I54" s="10">
        <f t="shared" si="2"/>
        <v>6.466666667</v>
      </c>
      <c r="J54" s="12">
        <v>15000.0</v>
      </c>
      <c r="K54" s="13"/>
      <c r="L54" s="13">
        <f t="shared" si="9"/>
        <v>12</v>
      </c>
      <c r="M54" s="10">
        <v>45078.0</v>
      </c>
      <c r="N54" s="14">
        <v>45078.0</v>
      </c>
      <c r="O54" s="10">
        <v>46172.0</v>
      </c>
      <c r="P54" s="10">
        <f t="shared" si="4"/>
        <v>36.46666667</v>
      </c>
      <c r="Q54" s="10">
        <v>12.0</v>
      </c>
      <c r="R54" s="10">
        <f t="shared" si="5"/>
        <v>24.46666667</v>
      </c>
      <c r="S54" s="10">
        <f t="shared" si="6"/>
        <v>0</v>
      </c>
      <c r="T54" s="10"/>
      <c r="U54" s="10">
        <f t="shared" si="10"/>
        <v>0</v>
      </c>
    </row>
    <row r="55" ht="14.25" customHeight="1">
      <c r="A55" s="21" t="s">
        <v>122</v>
      </c>
      <c r="B55" s="1"/>
      <c r="C55" s="1"/>
      <c r="D55" s="8">
        <v>54.0</v>
      </c>
      <c r="E55" s="8" t="s">
        <v>128</v>
      </c>
      <c r="F55" s="10"/>
      <c r="G55" s="10"/>
      <c r="H55" s="10">
        <f t="shared" si="8"/>
        <v>0</v>
      </c>
      <c r="I55" s="10">
        <f t="shared" si="2"/>
        <v>0</v>
      </c>
      <c r="J55" s="13"/>
      <c r="K55" s="13"/>
      <c r="L55" s="13">
        <f t="shared" si="9"/>
        <v>0</v>
      </c>
      <c r="M55" s="10">
        <v>45078.0</v>
      </c>
      <c r="N55" s="14">
        <v>46172.0</v>
      </c>
      <c r="O55" s="10">
        <v>46172.0</v>
      </c>
      <c r="P55" s="10">
        <f t="shared" si="4"/>
        <v>0</v>
      </c>
      <c r="Q55" s="10"/>
      <c r="R55" s="10">
        <f t="shared" si="5"/>
        <v>0</v>
      </c>
      <c r="S55" s="10">
        <f t="shared" si="6"/>
        <v>36.46666667</v>
      </c>
      <c r="T55" s="10">
        <v>36.0</v>
      </c>
      <c r="U55" s="10">
        <f t="shared" si="10"/>
        <v>90000</v>
      </c>
    </row>
    <row r="56" ht="14.25" customHeight="1">
      <c r="A56" s="1" t="s">
        <v>18</v>
      </c>
      <c r="B56" s="1">
        <v>30000.0</v>
      </c>
      <c r="C56" s="1">
        <v>100000.0</v>
      </c>
      <c r="D56" s="8">
        <v>55.0</v>
      </c>
      <c r="E56" s="9" t="s">
        <v>129</v>
      </c>
      <c r="F56" s="8" t="s">
        <v>130</v>
      </c>
      <c r="G56" s="11">
        <v>15000.0</v>
      </c>
      <c r="H56" s="10">
        <f t="shared" si="8"/>
        <v>6</v>
      </c>
      <c r="I56" s="10">
        <f t="shared" si="2"/>
        <v>6.466666667</v>
      </c>
      <c r="J56" s="12">
        <v>15000.0</v>
      </c>
      <c r="K56" s="19"/>
      <c r="L56" s="13">
        <f t="shared" si="9"/>
        <v>12</v>
      </c>
      <c r="M56" s="10">
        <v>45078.0</v>
      </c>
      <c r="N56" s="14">
        <v>45078.0</v>
      </c>
      <c r="O56" s="10">
        <v>46172.0</v>
      </c>
      <c r="P56" s="10">
        <f t="shared" si="4"/>
        <v>36.46666667</v>
      </c>
      <c r="Q56" s="10">
        <v>12.0</v>
      </c>
      <c r="R56" s="10">
        <f t="shared" si="5"/>
        <v>24.46666667</v>
      </c>
      <c r="S56" s="10">
        <f t="shared" si="6"/>
        <v>0</v>
      </c>
      <c r="T56" s="10"/>
      <c r="U56" s="10">
        <f t="shared" si="10"/>
        <v>0</v>
      </c>
    </row>
    <row r="57" ht="14.25" customHeight="1">
      <c r="A57" s="1" t="s">
        <v>18</v>
      </c>
      <c r="B57" s="1">
        <v>30000.0</v>
      </c>
      <c r="C57" s="1">
        <v>100000.0</v>
      </c>
      <c r="D57" s="8">
        <v>56.0</v>
      </c>
      <c r="E57" s="9" t="s">
        <v>131</v>
      </c>
      <c r="F57" s="8" t="s">
        <v>132</v>
      </c>
      <c r="G57" s="11">
        <v>15000.0</v>
      </c>
      <c r="H57" s="10">
        <f t="shared" si="8"/>
        <v>6</v>
      </c>
      <c r="I57" s="10">
        <f t="shared" si="2"/>
        <v>6.466666667</v>
      </c>
      <c r="J57" s="12">
        <v>15000.0</v>
      </c>
      <c r="K57" s="19"/>
      <c r="L57" s="13">
        <f t="shared" si="9"/>
        <v>12</v>
      </c>
      <c r="M57" s="10">
        <v>45078.0</v>
      </c>
      <c r="N57" s="14">
        <v>45078.0</v>
      </c>
      <c r="O57" s="10">
        <v>46172.0</v>
      </c>
      <c r="P57" s="10">
        <f t="shared" si="4"/>
        <v>36.46666667</v>
      </c>
      <c r="Q57" s="10">
        <v>12.0</v>
      </c>
      <c r="R57" s="10">
        <f t="shared" si="5"/>
        <v>24.46666667</v>
      </c>
      <c r="S57" s="10">
        <f t="shared" si="6"/>
        <v>0</v>
      </c>
      <c r="T57" s="10"/>
      <c r="U57" s="10">
        <f t="shared" si="10"/>
        <v>0</v>
      </c>
    </row>
    <row r="58" ht="14.25" customHeight="1">
      <c r="A58" s="1" t="s">
        <v>18</v>
      </c>
      <c r="B58" s="1">
        <v>30000.0</v>
      </c>
      <c r="C58" s="1">
        <v>100000.0</v>
      </c>
      <c r="D58" s="8">
        <v>57.0</v>
      </c>
      <c r="E58" s="9" t="s">
        <v>133</v>
      </c>
      <c r="F58" s="8" t="s">
        <v>134</v>
      </c>
      <c r="G58" s="11">
        <v>30000.0</v>
      </c>
      <c r="H58" s="10">
        <f t="shared" si="8"/>
        <v>12</v>
      </c>
      <c r="I58" s="10">
        <f t="shared" si="2"/>
        <v>0.4666666667</v>
      </c>
      <c r="J58" s="19"/>
      <c r="K58" s="19"/>
      <c r="L58" s="13">
        <f t="shared" si="9"/>
        <v>12</v>
      </c>
      <c r="M58" s="10">
        <v>45078.0</v>
      </c>
      <c r="N58" s="14">
        <v>45078.0</v>
      </c>
      <c r="O58" s="10">
        <v>46172.0</v>
      </c>
      <c r="P58" s="10">
        <f t="shared" si="4"/>
        <v>36.46666667</v>
      </c>
      <c r="Q58" s="10">
        <v>12.0</v>
      </c>
      <c r="R58" s="10">
        <f t="shared" si="5"/>
        <v>24.46666667</v>
      </c>
      <c r="S58" s="10">
        <f t="shared" si="6"/>
        <v>0</v>
      </c>
      <c r="T58" s="10"/>
      <c r="U58" s="10">
        <f t="shared" si="10"/>
        <v>0</v>
      </c>
    </row>
    <row r="59" ht="14.25" customHeight="1">
      <c r="A59" s="1" t="s">
        <v>18</v>
      </c>
      <c r="B59" s="1">
        <v>30000.0</v>
      </c>
      <c r="C59" s="1">
        <v>100000.0</v>
      </c>
      <c r="D59" s="8">
        <v>58.0</v>
      </c>
      <c r="E59" s="9" t="s">
        <v>135</v>
      </c>
      <c r="F59" s="8" t="s">
        <v>136</v>
      </c>
      <c r="G59" s="11">
        <v>15000.0</v>
      </c>
      <c r="H59" s="10">
        <f t="shared" si="8"/>
        <v>6</v>
      </c>
      <c r="I59" s="10">
        <f t="shared" si="2"/>
        <v>6.466666667</v>
      </c>
      <c r="J59" s="12">
        <v>15000.0</v>
      </c>
      <c r="K59" s="19"/>
      <c r="L59" s="13">
        <f t="shared" si="9"/>
        <v>12</v>
      </c>
      <c r="M59" s="10">
        <v>45078.0</v>
      </c>
      <c r="N59" s="14">
        <v>45078.0</v>
      </c>
      <c r="O59" s="10">
        <v>46172.0</v>
      </c>
      <c r="P59" s="10">
        <f t="shared" si="4"/>
        <v>36.46666667</v>
      </c>
      <c r="Q59" s="10">
        <v>12.0</v>
      </c>
      <c r="R59" s="10">
        <f t="shared" si="5"/>
        <v>24.46666667</v>
      </c>
      <c r="S59" s="10">
        <f t="shared" si="6"/>
        <v>0</v>
      </c>
      <c r="T59" s="10"/>
      <c r="U59" s="10">
        <f t="shared" si="10"/>
        <v>0</v>
      </c>
    </row>
    <row r="60" ht="14.25" customHeight="1">
      <c r="A60" s="1" t="s">
        <v>18</v>
      </c>
      <c r="B60" s="1">
        <v>30000.0</v>
      </c>
      <c r="C60" s="1">
        <v>100000.0</v>
      </c>
      <c r="D60" s="8">
        <v>59.0</v>
      </c>
      <c r="E60" s="9" t="s">
        <v>137</v>
      </c>
      <c r="F60" s="8" t="s">
        <v>138</v>
      </c>
      <c r="G60" s="11">
        <v>15000.0</v>
      </c>
      <c r="H60" s="10">
        <f t="shared" si="8"/>
        <v>6</v>
      </c>
      <c r="I60" s="10">
        <f t="shared" si="2"/>
        <v>6.466666667</v>
      </c>
      <c r="J60" s="12">
        <v>15000.0</v>
      </c>
      <c r="K60" s="19"/>
      <c r="L60" s="13">
        <f t="shared" si="9"/>
        <v>12</v>
      </c>
      <c r="M60" s="10">
        <v>45078.0</v>
      </c>
      <c r="N60" s="14">
        <v>45078.0</v>
      </c>
      <c r="O60" s="10">
        <v>46172.0</v>
      </c>
      <c r="P60" s="10">
        <f t="shared" si="4"/>
        <v>36.46666667</v>
      </c>
      <c r="Q60" s="10">
        <v>12.0</v>
      </c>
      <c r="R60" s="10">
        <f t="shared" si="5"/>
        <v>24.46666667</v>
      </c>
      <c r="S60" s="10">
        <f t="shared" si="6"/>
        <v>0</v>
      </c>
      <c r="T60" s="10"/>
      <c r="U60" s="10">
        <f t="shared" si="10"/>
        <v>0</v>
      </c>
    </row>
    <row r="61" ht="14.25" customHeight="1">
      <c r="A61" s="1" t="s">
        <v>18</v>
      </c>
      <c r="B61" s="1">
        <v>30000.0</v>
      </c>
      <c r="C61" s="1">
        <v>100000.0</v>
      </c>
      <c r="D61" s="8">
        <v>60.0</v>
      </c>
      <c r="E61" s="9" t="s">
        <v>139</v>
      </c>
      <c r="F61" s="8" t="s">
        <v>140</v>
      </c>
      <c r="G61" s="11">
        <v>15000.0</v>
      </c>
      <c r="H61" s="10">
        <f t="shared" si="8"/>
        <v>6</v>
      </c>
      <c r="I61" s="10">
        <f t="shared" si="2"/>
        <v>6.466666667</v>
      </c>
      <c r="J61" s="12">
        <v>15000.0</v>
      </c>
      <c r="K61" s="19"/>
      <c r="L61" s="13">
        <f t="shared" si="9"/>
        <v>12</v>
      </c>
      <c r="M61" s="10">
        <v>45078.0</v>
      </c>
      <c r="N61" s="14">
        <v>45078.0</v>
      </c>
      <c r="O61" s="10">
        <v>46172.0</v>
      </c>
      <c r="P61" s="10">
        <f t="shared" si="4"/>
        <v>36.46666667</v>
      </c>
      <c r="Q61" s="10">
        <v>12.0</v>
      </c>
      <c r="R61" s="10">
        <f t="shared" si="5"/>
        <v>24.46666667</v>
      </c>
      <c r="S61" s="10">
        <f t="shared" si="6"/>
        <v>0</v>
      </c>
      <c r="T61" s="10"/>
      <c r="U61" s="10">
        <f t="shared" si="10"/>
        <v>0</v>
      </c>
    </row>
    <row r="62" ht="14.25" customHeight="1">
      <c r="A62" s="1" t="s">
        <v>18</v>
      </c>
      <c r="B62" s="1">
        <v>30000.0</v>
      </c>
      <c r="C62" s="1">
        <v>100000.0</v>
      </c>
      <c r="D62" s="8">
        <v>61.0</v>
      </c>
      <c r="E62" s="9" t="s">
        <v>141</v>
      </c>
      <c r="F62" s="8" t="s">
        <v>142</v>
      </c>
      <c r="G62" s="11">
        <v>15000.0</v>
      </c>
      <c r="H62" s="10">
        <f t="shared" si="8"/>
        <v>6</v>
      </c>
      <c r="I62" s="10">
        <f t="shared" si="2"/>
        <v>6.466666667</v>
      </c>
      <c r="J62" s="12">
        <v>15000.0</v>
      </c>
      <c r="K62" s="19"/>
      <c r="L62" s="13">
        <f t="shared" si="9"/>
        <v>12</v>
      </c>
      <c r="M62" s="10">
        <v>45078.0</v>
      </c>
      <c r="N62" s="14">
        <v>45078.0</v>
      </c>
      <c r="O62" s="10">
        <v>46172.0</v>
      </c>
      <c r="P62" s="10">
        <f t="shared" si="4"/>
        <v>36.46666667</v>
      </c>
      <c r="Q62" s="10">
        <v>12.0</v>
      </c>
      <c r="R62" s="10">
        <f t="shared" si="5"/>
        <v>24.46666667</v>
      </c>
      <c r="S62" s="10">
        <f t="shared" si="6"/>
        <v>0</v>
      </c>
      <c r="T62" s="10"/>
      <c r="U62" s="10">
        <f t="shared" si="10"/>
        <v>0</v>
      </c>
    </row>
    <row r="63" ht="14.25" customHeight="1">
      <c r="A63" s="1" t="s">
        <v>18</v>
      </c>
      <c r="B63" s="1">
        <v>30000.0</v>
      </c>
      <c r="C63" s="1">
        <v>100000.0</v>
      </c>
      <c r="D63" s="8">
        <v>62.0</v>
      </c>
      <c r="E63" s="9" t="s">
        <v>143</v>
      </c>
      <c r="F63" s="10" t="s">
        <v>144</v>
      </c>
      <c r="G63" s="10"/>
      <c r="H63" s="10">
        <f t="shared" si="8"/>
        <v>0</v>
      </c>
      <c r="I63" s="10">
        <f t="shared" si="2"/>
        <v>12.46666667</v>
      </c>
      <c r="J63" s="13"/>
      <c r="K63" s="13"/>
      <c r="L63" s="13">
        <f t="shared" si="9"/>
        <v>12</v>
      </c>
      <c r="M63" s="10">
        <v>45078.0</v>
      </c>
      <c r="N63" s="14">
        <v>45078.0</v>
      </c>
      <c r="O63" s="10">
        <v>46172.0</v>
      </c>
      <c r="P63" s="10">
        <f t="shared" si="4"/>
        <v>36.46666667</v>
      </c>
      <c r="Q63" s="10">
        <v>12.0</v>
      </c>
      <c r="R63" s="10">
        <f t="shared" si="5"/>
        <v>24.46666667</v>
      </c>
      <c r="S63" s="10">
        <f t="shared" si="6"/>
        <v>0</v>
      </c>
      <c r="T63" s="10"/>
      <c r="U63" s="10">
        <f t="shared" si="10"/>
        <v>0</v>
      </c>
    </row>
    <row r="64" ht="14.25" customHeight="1">
      <c r="A64" s="1"/>
      <c r="B64" s="1"/>
      <c r="C64" s="1"/>
      <c r="D64" s="8">
        <v>63.0</v>
      </c>
      <c r="E64" s="8" t="s">
        <v>145</v>
      </c>
      <c r="F64" s="10"/>
      <c r="G64" s="10"/>
      <c r="H64" s="10">
        <f t="shared" si="8"/>
        <v>0</v>
      </c>
      <c r="I64" s="10">
        <f t="shared" si="2"/>
        <v>0</v>
      </c>
      <c r="J64" s="13"/>
      <c r="K64" s="13"/>
      <c r="L64" s="13">
        <f t="shared" si="9"/>
        <v>0</v>
      </c>
      <c r="M64" s="10">
        <v>45078.0</v>
      </c>
      <c r="N64" s="14">
        <v>46172.0</v>
      </c>
      <c r="O64" s="10">
        <v>46172.0</v>
      </c>
      <c r="P64" s="10">
        <f t="shared" si="4"/>
        <v>0</v>
      </c>
      <c r="Q64" s="10"/>
      <c r="R64" s="10">
        <f t="shared" si="5"/>
        <v>0</v>
      </c>
      <c r="S64" s="10">
        <f t="shared" si="6"/>
        <v>36.46666667</v>
      </c>
      <c r="T64" s="10">
        <v>36.0</v>
      </c>
      <c r="U64" s="10">
        <f t="shared" si="10"/>
        <v>90000</v>
      </c>
    </row>
    <row r="65" ht="14.25" customHeight="1">
      <c r="A65" s="1" t="s">
        <v>18</v>
      </c>
      <c r="B65" s="1">
        <v>30000.0</v>
      </c>
      <c r="C65" s="1">
        <v>100000.0</v>
      </c>
      <c r="D65" s="8">
        <v>64.0</v>
      </c>
      <c r="E65" s="9" t="s">
        <v>146</v>
      </c>
      <c r="F65" s="10" t="s">
        <v>147</v>
      </c>
      <c r="G65" s="15">
        <v>15000.0</v>
      </c>
      <c r="H65" s="10">
        <f t="shared" si="8"/>
        <v>6</v>
      </c>
      <c r="I65" s="10">
        <f t="shared" si="2"/>
        <v>6.466666667</v>
      </c>
      <c r="J65" s="12">
        <v>15000.0</v>
      </c>
      <c r="K65" s="13"/>
      <c r="L65" s="13">
        <f t="shared" si="9"/>
        <v>12</v>
      </c>
      <c r="M65" s="10">
        <v>45078.0</v>
      </c>
      <c r="N65" s="14">
        <v>45078.0</v>
      </c>
      <c r="O65" s="10">
        <v>46172.0</v>
      </c>
      <c r="P65" s="10">
        <f t="shared" si="4"/>
        <v>36.46666667</v>
      </c>
      <c r="Q65" s="10">
        <v>12.0</v>
      </c>
      <c r="R65" s="10">
        <f t="shared" si="5"/>
        <v>24.46666667</v>
      </c>
      <c r="S65" s="10">
        <f t="shared" si="6"/>
        <v>0</v>
      </c>
      <c r="T65" s="10"/>
      <c r="U65" s="10">
        <f t="shared" si="10"/>
        <v>0</v>
      </c>
    </row>
    <row r="66" ht="14.25" customHeight="1">
      <c r="A66" s="1" t="s">
        <v>18</v>
      </c>
      <c r="B66" s="16">
        <v>30000.0</v>
      </c>
      <c r="C66" s="16">
        <v>100000.0</v>
      </c>
      <c r="D66" s="8">
        <v>65.0</v>
      </c>
      <c r="E66" s="9" t="s">
        <v>148</v>
      </c>
      <c r="F66" s="8" t="s">
        <v>149</v>
      </c>
      <c r="G66" s="11">
        <v>15000.0</v>
      </c>
      <c r="H66" s="10">
        <f t="shared" si="8"/>
        <v>6</v>
      </c>
      <c r="I66" s="10">
        <f t="shared" si="2"/>
        <v>6.466666667</v>
      </c>
      <c r="J66" s="12">
        <v>15000.0</v>
      </c>
      <c r="K66" s="19"/>
      <c r="L66" s="13">
        <f t="shared" si="9"/>
        <v>12</v>
      </c>
      <c r="M66" s="10">
        <v>45078.0</v>
      </c>
      <c r="N66" s="14">
        <v>45078.0</v>
      </c>
      <c r="O66" s="10">
        <v>46172.0</v>
      </c>
      <c r="P66" s="10">
        <f t="shared" si="4"/>
        <v>36.46666667</v>
      </c>
      <c r="Q66" s="10">
        <v>12.0</v>
      </c>
      <c r="R66" s="10">
        <f t="shared" si="5"/>
        <v>24.46666667</v>
      </c>
      <c r="S66" s="10">
        <f t="shared" si="6"/>
        <v>0</v>
      </c>
      <c r="T66" s="10"/>
      <c r="U66" s="10">
        <f t="shared" si="10"/>
        <v>0</v>
      </c>
    </row>
    <row r="67" ht="14.25" customHeight="1">
      <c r="A67" s="1" t="s">
        <v>18</v>
      </c>
      <c r="B67" s="1">
        <v>30000.0</v>
      </c>
      <c r="C67" s="1">
        <v>100000.0</v>
      </c>
      <c r="D67" s="8">
        <v>66.0</v>
      </c>
      <c r="E67" s="9" t="s">
        <v>150</v>
      </c>
      <c r="F67" s="10" t="s">
        <v>151</v>
      </c>
      <c r="G67" s="11">
        <v>30000.0</v>
      </c>
      <c r="H67" s="10">
        <f t="shared" si="8"/>
        <v>12</v>
      </c>
      <c r="I67" s="10">
        <f t="shared" si="2"/>
        <v>0.4666666667</v>
      </c>
      <c r="J67" s="13"/>
      <c r="K67" s="13"/>
      <c r="L67" s="13">
        <f t="shared" si="9"/>
        <v>12</v>
      </c>
      <c r="M67" s="10">
        <v>45078.0</v>
      </c>
      <c r="N67" s="14">
        <v>45078.0</v>
      </c>
      <c r="O67" s="10">
        <v>46172.0</v>
      </c>
      <c r="P67" s="10">
        <f t="shared" si="4"/>
        <v>36.46666667</v>
      </c>
      <c r="Q67" s="10">
        <v>12.0</v>
      </c>
      <c r="R67" s="10">
        <f t="shared" si="5"/>
        <v>24.46666667</v>
      </c>
      <c r="S67" s="10">
        <f t="shared" si="6"/>
        <v>0</v>
      </c>
      <c r="T67" s="10"/>
      <c r="U67" s="10">
        <f t="shared" si="10"/>
        <v>0</v>
      </c>
    </row>
    <row r="68" ht="14.25" customHeight="1">
      <c r="A68" s="1" t="s">
        <v>18</v>
      </c>
      <c r="B68" s="1">
        <v>30000.0</v>
      </c>
      <c r="C68" s="1">
        <v>100000.0</v>
      </c>
      <c r="D68" s="8">
        <v>67.0</v>
      </c>
      <c r="E68" s="9" t="s">
        <v>152</v>
      </c>
      <c r="F68" s="8" t="s">
        <v>153</v>
      </c>
      <c r="G68" s="11">
        <v>15000.0</v>
      </c>
      <c r="H68" s="10">
        <f t="shared" si="8"/>
        <v>6</v>
      </c>
      <c r="I68" s="10">
        <f t="shared" si="2"/>
        <v>6.466666667</v>
      </c>
      <c r="J68" s="12">
        <v>15000.0</v>
      </c>
      <c r="K68" s="19"/>
      <c r="L68" s="13">
        <f t="shared" si="9"/>
        <v>12</v>
      </c>
      <c r="M68" s="10">
        <v>45078.0</v>
      </c>
      <c r="N68" s="14">
        <v>45078.0</v>
      </c>
      <c r="O68" s="10">
        <v>46172.0</v>
      </c>
      <c r="P68" s="10">
        <f t="shared" si="4"/>
        <v>36.46666667</v>
      </c>
      <c r="Q68" s="10">
        <v>12.0</v>
      </c>
      <c r="R68" s="10">
        <f t="shared" si="5"/>
        <v>24.46666667</v>
      </c>
      <c r="S68" s="10">
        <f t="shared" si="6"/>
        <v>0</v>
      </c>
      <c r="T68" s="10"/>
      <c r="U68" s="10">
        <f t="shared" si="10"/>
        <v>0</v>
      </c>
    </row>
    <row r="69" ht="14.25" customHeight="1">
      <c r="A69" s="1" t="s">
        <v>18</v>
      </c>
      <c r="B69" s="1">
        <v>30000.0</v>
      </c>
      <c r="C69" s="1">
        <v>100000.0</v>
      </c>
      <c r="D69" s="8">
        <v>68.0</v>
      </c>
      <c r="E69" s="9" t="s">
        <v>154</v>
      </c>
      <c r="F69" s="8" t="s">
        <v>155</v>
      </c>
      <c r="G69" s="11">
        <v>15000.0</v>
      </c>
      <c r="H69" s="10">
        <f t="shared" si="8"/>
        <v>6</v>
      </c>
      <c r="I69" s="10">
        <f t="shared" si="2"/>
        <v>6.466666667</v>
      </c>
      <c r="J69" s="12">
        <v>15000.0</v>
      </c>
      <c r="K69" s="13"/>
      <c r="L69" s="13">
        <f t="shared" si="9"/>
        <v>12</v>
      </c>
      <c r="M69" s="10">
        <v>45078.0</v>
      </c>
      <c r="N69" s="14">
        <v>45078.0</v>
      </c>
      <c r="O69" s="10">
        <v>46172.0</v>
      </c>
      <c r="P69" s="10">
        <f t="shared" si="4"/>
        <v>36.46666667</v>
      </c>
      <c r="Q69" s="10">
        <v>12.0</v>
      </c>
      <c r="R69" s="10">
        <f t="shared" si="5"/>
        <v>24.46666667</v>
      </c>
      <c r="S69" s="10">
        <f t="shared" si="6"/>
        <v>0</v>
      </c>
      <c r="T69" s="10"/>
      <c r="U69" s="10">
        <f t="shared" si="10"/>
        <v>0</v>
      </c>
    </row>
    <row r="70" ht="14.25" customHeight="1">
      <c r="A70" s="1" t="s">
        <v>18</v>
      </c>
      <c r="B70" s="1">
        <v>30000.0</v>
      </c>
      <c r="C70" s="1">
        <v>100000.0</v>
      </c>
      <c r="D70" s="8">
        <v>69.0</v>
      </c>
      <c r="E70" s="9" t="s">
        <v>156</v>
      </c>
      <c r="F70" s="10" t="s">
        <v>157</v>
      </c>
      <c r="G70" s="10"/>
      <c r="H70" s="10">
        <f t="shared" si="8"/>
        <v>0</v>
      </c>
      <c r="I70" s="10">
        <f t="shared" si="2"/>
        <v>12.46666667</v>
      </c>
      <c r="J70" s="13"/>
      <c r="K70" s="13"/>
      <c r="L70" s="13">
        <f t="shared" si="9"/>
        <v>12</v>
      </c>
      <c r="M70" s="10">
        <v>45078.0</v>
      </c>
      <c r="N70" s="14">
        <v>45078.0</v>
      </c>
      <c r="O70" s="10">
        <v>46172.0</v>
      </c>
      <c r="P70" s="10">
        <f t="shared" si="4"/>
        <v>36.46666667</v>
      </c>
      <c r="Q70" s="10">
        <v>12.0</v>
      </c>
      <c r="R70" s="10">
        <f t="shared" si="5"/>
        <v>24.46666667</v>
      </c>
      <c r="S70" s="10">
        <f t="shared" si="6"/>
        <v>0</v>
      </c>
      <c r="T70" s="10"/>
      <c r="U70" s="10">
        <f t="shared" si="10"/>
        <v>0</v>
      </c>
    </row>
    <row r="71" ht="14.25" customHeight="1">
      <c r="A71" s="1" t="s">
        <v>18</v>
      </c>
      <c r="B71" s="1">
        <v>30000.0</v>
      </c>
      <c r="C71" s="1">
        <v>100000.0</v>
      </c>
      <c r="D71" s="8">
        <v>70.0</v>
      </c>
      <c r="E71" s="9" t="s">
        <v>158</v>
      </c>
      <c r="F71" s="8" t="s">
        <v>159</v>
      </c>
      <c r="G71" s="11">
        <v>15000.0</v>
      </c>
      <c r="H71" s="10">
        <f t="shared" si="8"/>
        <v>6</v>
      </c>
      <c r="I71" s="10">
        <f t="shared" si="2"/>
        <v>6.466666667</v>
      </c>
      <c r="J71" s="12">
        <v>15000.0</v>
      </c>
      <c r="K71" s="13"/>
      <c r="L71" s="13">
        <f t="shared" si="9"/>
        <v>12</v>
      </c>
      <c r="M71" s="10">
        <v>45078.0</v>
      </c>
      <c r="N71" s="14">
        <v>45078.0</v>
      </c>
      <c r="O71" s="10">
        <v>46172.0</v>
      </c>
      <c r="P71" s="10">
        <f t="shared" si="4"/>
        <v>36.46666667</v>
      </c>
      <c r="Q71" s="10">
        <v>12.0</v>
      </c>
      <c r="R71" s="10">
        <f t="shared" si="5"/>
        <v>24.46666667</v>
      </c>
      <c r="S71" s="10">
        <f t="shared" si="6"/>
        <v>0</v>
      </c>
      <c r="T71" s="10"/>
      <c r="U71" s="10">
        <f t="shared" si="10"/>
        <v>0</v>
      </c>
    </row>
    <row r="72" ht="14.25" customHeight="1">
      <c r="A72" s="1" t="s">
        <v>18</v>
      </c>
      <c r="B72" s="1">
        <v>30000.0</v>
      </c>
      <c r="C72" s="1">
        <v>100000.0</v>
      </c>
      <c r="D72" s="8">
        <v>71.0</v>
      </c>
      <c r="E72" s="9" t="s">
        <v>160</v>
      </c>
      <c r="F72" s="8" t="s">
        <v>161</v>
      </c>
      <c r="G72" s="11">
        <v>15000.0</v>
      </c>
      <c r="H72" s="10">
        <f t="shared" si="8"/>
        <v>6</v>
      </c>
      <c r="I72" s="10">
        <f t="shared" si="2"/>
        <v>6.466666667</v>
      </c>
      <c r="J72" s="12">
        <v>15000.0</v>
      </c>
      <c r="K72" s="13"/>
      <c r="L72" s="13">
        <f t="shared" si="9"/>
        <v>12</v>
      </c>
      <c r="M72" s="10">
        <v>45078.0</v>
      </c>
      <c r="N72" s="14">
        <v>45078.0</v>
      </c>
      <c r="O72" s="10">
        <v>46172.0</v>
      </c>
      <c r="P72" s="10">
        <f t="shared" si="4"/>
        <v>36.46666667</v>
      </c>
      <c r="Q72" s="10">
        <v>12.0</v>
      </c>
      <c r="R72" s="10">
        <f t="shared" si="5"/>
        <v>24.46666667</v>
      </c>
      <c r="S72" s="10">
        <f t="shared" si="6"/>
        <v>0</v>
      </c>
      <c r="T72" s="10"/>
      <c r="U72" s="10">
        <f t="shared" si="10"/>
        <v>0</v>
      </c>
    </row>
    <row r="73" ht="14.25" customHeight="1">
      <c r="A73" s="21" t="s">
        <v>18</v>
      </c>
      <c r="B73" s="1"/>
      <c r="C73" s="1">
        <v>100000.0</v>
      </c>
      <c r="D73" s="8">
        <v>72.0</v>
      </c>
      <c r="E73" s="9" t="s">
        <v>162</v>
      </c>
      <c r="F73" s="31" t="s">
        <v>163</v>
      </c>
      <c r="G73" s="11">
        <v>60000.0</v>
      </c>
      <c r="H73" s="10">
        <f t="shared" si="8"/>
        <v>24</v>
      </c>
      <c r="I73" s="10">
        <f t="shared" si="2"/>
        <v>0.4666666667</v>
      </c>
      <c r="J73" s="13"/>
      <c r="K73" s="13"/>
      <c r="L73" s="13">
        <f t="shared" si="9"/>
        <v>0</v>
      </c>
      <c r="M73" s="10">
        <v>45078.0</v>
      </c>
      <c r="N73" s="14">
        <v>45078.0</v>
      </c>
      <c r="O73" s="10">
        <v>46172.0</v>
      </c>
      <c r="P73" s="10">
        <f t="shared" si="4"/>
        <v>36.46666667</v>
      </c>
      <c r="Q73" s="10">
        <v>12.0</v>
      </c>
      <c r="R73" s="10">
        <f t="shared" si="5"/>
        <v>24.46666667</v>
      </c>
      <c r="S73" s="10">
        <f t="shared" si="6"/>
        <v>0</v>
      </c>
      <c r="T73" s="10"/>
      <c r="U73" s="10">
        <f t="shared" si="10"/>
        <v>0</v>
      </c>
    </row>
    <row r="74" ht="14.25" customHeight="1">
      <c r="A74" s="1" t="s">
        <v>18</v>
      </c>
      <c r="B74" s="1">
        <v>30000.0</v>
      </c>
      <c r="C74" s="1">
        <v>100000.0</v>
      </c>
      <c r="D74" s="8">
        <v>73.0</v>
      </c>
      <c r="E74" s="9" t="s">
        <v>164</v>
      </c>
      <c r="F74" s="10" t="s">
        <v>165</v>
      </c>
      <c r="G74" s="15">
        <v>15000.0</v>
      </c>
      <c r="H74" s="10">
        <f t="shared" si="8"/>
        <v>6</v>
      </c>
      <c r="I74" s="10">
        <f t="shared" si="2"/>
        <v>6.466666667</v>
      </c>
      <c r="J74" s="12">
        <v>15000.0</v>
      </c>
      <c r="K74" s="13"/>
      <c r="L74" s="13">
        <f t="shared" si="9"/>
        <v>12</v>
      </c>
      <c r="M74" s="10">
        <v>45078.0</v>
      </c>
      <c r="N74" s="14">
        <v>45078.0</v>
      </c>
      <c r="O74" s="10">
        <v>46172.0</v>
      </c>
      <c r="P74" s="10">
        <f t="shared" si="4"/>
        <v>36.46666667</v>
      </c>
      <c r="Q74" s="10">
        <v>12.0</v>
      </c>
      <c r="R74" s="10">
        <f t="shared" si="5"/>
        <v>24.46666667</v>
      </c>
      <c r="S74" s="10">
        <f t="shared" si="6"/>
        <v>0</v>
      </c>
      <c r="T74" s="10"/>
      <c r="U74" s="10">
        <f t="shared" si="10"/>
        <v>0</v>
      </c>
    </row>
    <row r="75" ht="14.25" customHeight="1">
      <c r="A75" s="1" t="s">
        <v>18</v>
      </c>
      <c r="B75" s="1">
        <v>30000.0</v>
      </c>
      <c r="C75" s="1">
        <v>100000.0</v>
      </c>
      <c r="D75" s="8">
        <v>74.0</v>
      </c>
      <c r="E75" s="9" t="s">
        <v>166</v>
      </c>
      <c r="F75" s="10" t="s">
        <v>167</v>
      </c>
      <c r="G75" s="10"/>
      <c r="H75" s="10">
        <f t="shared" si="8"/>
        <v>0</v>
      </c>
      <c r="I75" s="10">
        <f t="shared" si="2"/>
        <v>0.1333333333</v>
      </c>
      <c r="J75" s="12"/>
      <c r="K75" s="12" t="s">
        <v>168</v>
      </c>
      <c r="L75" s="13">
        <f t="shared" si="9"/>
        <v>12</v>
      </c>
      <c r="M75" s="10">
        <v>45078.0</v>
      </c>
      <c r="N75" s="32">
        <v>45658.0</v>
      </c>
      <c r="O75" s="10">
        <v>46172.0</v>
      </c>
      <c r="P75" s="10">
        <f t="shared" si="4"/>
        <v>17.13333333</v>
      </c>
      <c r="Q75" s="33">
        <v>5.0</v>
      </c>
      <c r="R75" s="10">
        <f t="shared" si="5"/>
        <v>12.13333333</v>
      </c>
      <c r="S75" s="10">
        <f t="shared" si="6"/>
        <v>19.33333333</v>
      </c>
      <c r="T75" s="33">
        <v>19.0</v>
      </c>
      <c r="U75" s="10">
        <f t="shared" si="10"/>
        <v>47500</v>
      </c>
    </row>
    <row r="76" ht="14.25" customHeight="1">
      <c r="A76" s="1" t="s">
        <v>18</v>
      </c>
      <c r="B76" s="1">
        <v>60000.0</v>
      </c>
      <c r="C76" s="1">
        <v>100000.0</v>
      </c>
      <c r="D76" s="8">
        <v>75.0</v>
      </c>
      <c r="E76" s="9" t="s">
        <v>169</v>
      </c>
      <c r="F76" s="20" t="s">
        <v>170</v>
      </c>
      <c r="G76" s="11">
        <v>15000.0</v>
      </c>
      <c r="H76" s="10">
        <f t="shared" si="8"/>
        <v>6</v>
      </c>
      <c r="I76" s="10">
        <f t="shared" si="2"/>
        <v>-5.533333333</v>
      </c>
      <c r="J76" s="13"/>
      <c r="K76" s="13"/>
      <c r="L76" s="13">
        <f t="shared" si="9"/>
        <v>24</v>
      </c>
      <c r="M76" s="10">
        <v>45078.0</v>
      </c>
      <c r="N76" s="14">
        <v>45078.0</v>
      </c>
      <c r="O76" s="10">
        <v>46172.0</v>
      </c>
      <c r="P76" s="10">
        <f t="shared" si="4"/>
        <v>36.46666667</v>
      </c>
      <c r="Q76" s="10">
        <v>12.0</v>
      </c>
      <c r="R76" s="10">
        <f t="shared" si="5"/>
        <v>24.46666667</v>
      </c>
      <c r="S76" s="10">
        <f t="shared" si="6"/>
        <v>0</v>
      </c>
      <c r="T76" s="10"/>
      <c r="U76" s="10">
        <f t="shared" si="10"/>
        <v>0</v>
      </c>
    </row>
    <row r="77" ht="14.25" customHeight="1">
      <c r="A77" s="1" t="s">
        <v>18</v>
      </c>
      <c r="B77" s="1">
        <v>30000.0</v>
      </c>
      <c r="C77" s="1">
        <v>100000.0</v>
      </c>
      <c r="D77" s="8">
        <v>76.0</v>
      </c>
      <c r="E77" s="9" t="s">
        <v>171</v>
      </c>
      <c r="F77" s="8" t="s">
        <v>172</v>
      </c>
      <c r="G77" s="11">
        <v>15000.0</v>
      </c>
      <c r="H77" s="10">
        <f t="shared" si="8"/>
        <v>6</v>
      </c>
      <c r="I77" s="10">
        <f t="shared" si="2"/>
        <v>6.466666667</v>
      </c>
      <c r="J77" s="12">
        <v>15000.0</v>
      </c>
      <c r="K77" s="13"/>
      <c r="L77" s="13">
        <f t="shared" si="9"/>
        <v>12</v>
      </c>
      <c r="M77" s="10">
        <v>45078.0</v>
      </c>
      <c r="N77" s="14">
        <v>45078.0</v>
      </c>
      <c r="O77" s="10">
        <v>46172.0</v>
      </c>
      <c r="P77" s="10">
        <f t="shared" si="4"/>
        <v>36.46666667</v>
      </c>
      <c r="Q77" s="10">
        <v>12.0</v>
      </c>
      <c r="R77" s="10">
        <f t="shared" si="5"/>
        <v>24.46666667</v>
      </c>
      <c r="S77" s="10">
        <f t="shared" si="6"/>
        <v>0</v>
      </c>
      <c r="T77" s="10"/>
      <c r="U77" s="10">
        <f t="shared" si="10"/>
        <v>0</v>
      </c>
    </row>
    <row r="78" ht="14.25" customHeight="1">
      <c r="A78" s="1" t="s">
        <v>18</v>
      </c>
      <c r="B78" s="1">
        <v>30000.0</v>
      </c>
      <c r="C78" s="1">
        <v>100000.0</v>
      </c>
      <c r="D78" s="8">
        <v>77.0</v>
      </c>
      <c r="E78" s="9" t="s">
        <v>173</v>
      </c>
      <c r="F78" s="10" t="s">
        <v>174</v>
      </c>
      <c r="G78" s="15">
        <v>15000.0</v>
      </c>
      <c r="H78" s="10">
        <f t="shared" si="8"/>
        <v>6</v>
      </c>
      <c r="I78" s="10">
        <f t="shared" si="2"/>
        <v>6.466666667</v>
      </c>
      <c r="J78" s="12">
        <v>15000.0</v>
      </c>
      <c r="K78" s="13"/>
      <c r="L78" s="13">
        <f t="shared" si="9"/>
        <v>12</v>
      </c>
      <c r="M78" s="10">
        <v>45078.0</v>
      </c>
      <c r="N78" s="14">
        <v>45078.0</v>
      </c>
      <c r="O78" s="10">
        <v>46172.0</v>
      </c>
      <c r="P78" s="10">
        <f t="shared" si="4"/>
        <v>36.46666667</v>
      </c>
      <c r="Q78" s="10">
        <v>12.0</v>
      </c>
      <c r="R78" s="10">
        <f t="shared" si="5"/>
        <v>24.46666667</v>
      </c>
      <c r="S78" s="10">
        <f t="shared" si="6"/>
        <v>0</v>
      </c>
      <c r="T78" s="10"/>
      <c r="U78" s="10">
        <f t="shared" si="10"/>
        <v>0</v>
      </c>
    </row>
    <row r="79" ht="14.25" customHeight="1">
      <c r="A79" s="1" t="s">
        <v>18</v>
      </c>
      <c r="B79" s="1">
        <v>30000.0</v>
      </c>
      <c r="C79" s="1">
        <v>100000.0</v>
      </c>
      <c r="D79" s="8">
        <v>78.0</v>
      </c>
      <c r="E79" s="9" t="s">
        <v>175</v>
      </c>
      <c r="F79" s="10" t="s">
        <v>176</v>
      </c>
      <c r="G79" s="15">
        <v>15000.0</v>
      </c>
      <c r="H79" s="10">
        <f t="shared" si="8"/>
        <v>6</v>
      </c>
      <c r="I79" s="10">
        <f t="shared" si="2"/>
        <v>6.466666667</v>
      </c>
      <c r="J79" s="12">
        <v>15000.0</v>
      </c>
      <c r="K79" s="13"/>
      <c r="L79" s="13">
        <f t="shared" si="9"/>
        <v>12</v>
      </c>
      <c r="M79" s="10">
        <v>45078.0</v>
      </c>
      <c r="N79" s="14">
        <v>45078.0</v>
      </c>
      <c r="O79" s="10">
        <v>46172.0</v>
      </c>
      <c r="P79" s="10">
        <f t="shared" si="4"/>
        <v>36.46666667</v>
      </c>
      <c r="Q79" s="10">
        <v>12.0</v>
      </c>
      <c r="R79" s="10">
        <f t="shared" si="5"/>
        <v>24.46666667</v>
      </c>
      <c r="S79" s="10">
        <f t="shared" si="6"/>
        <v>0</v>
      </c>
      <c r="T79" s="10"/>
      <c r="U79" s="10">
        <f t="shared" si="10"/>
        <v>0</v>
      </c>
    </row>
    <row r="80" ht="14.25" customHeight="1">
      <c r="A80" s="1" t="s">
        <v>18</v>
      </c>
      <c r="B80" s="1">
        <v>30000.0</v>
      </c>
      <c r="C80" s="1">
        <v>100000.0</v>
      </c>
      <c r="D80" s="8">
        <v>79.0</v>
      </c>
      <c r="E80" s="9" t="s">
        <v>177</v>
      </c>
      <c r="F80" s="10" t="s">
        <v>176</v>
      </c>
      <c r="G80" s="15">
        <v>15000.0</v>
      </c>
      <c r="H80" s="10">
        <f t="shared" si="8"/>
        <v>6</v>
      </c>
      <c r="I80" s="10">
        <f t="shared" si="2"/>
        <v>6.466666667</v>
      </c>
      <c r="J80" s="12">
        <v>15000.0</v>
      </c>
      <c r="K80" s="13"/>
      <c r="L80" s="13">
        <f t="shared" si="9"/>
        <v>12</v>
      </c>
      <c r="M80" s="10">
        <v>45078.0</v>
      </c>
      <c r="N80" s="14">
        <v>45078.0</v>
      </c>
      <c r="O80" s="10">
        <v>46172.0</v>
      </c>
      <c r="P80" s="10">
        <f t="shared" si="4"/>
        <v>36.46666667</v>
      </c>
      <c r="Q80" s="10">
        <v>12.0</v>
      </c>
      <c r="R80" s="10">
        <f t="shared" si="5"/>
        <v>24.46666667</v>
      </c>
      <c r="S80" s="10">
        <f t="shared" si="6"/>
        <v>0</v>
      </c>
      <c r="T80" s="10"/>
      <c r="U80" s="10">
        <f t="shared" si="10"/>
        <v>0</v>
      </c>
    </row>
    <row r="81" ht="14.25" customHeight="1">
      <c r="A81" s="1" t="s">
        <v>18</v>
      </c>
      <c r="B81" s="1">
        <v>30000.0</v>
      </c>
      <c r="C81" s="1">
        <v>100000.0</v>
      </c>
      <c r="D81" s="8">
        <v>80.0</v>
      </c>
      <c r="E81" s="9" t="s">
        <v>178</v>
      </c>
      <c r="F81" s="10" t="s">
        <v>179</v>
      </c>
      <c r="G81" s="15">
        <v>15000.0</v>
      </c>
      <c r="H81" s="10">
        <f t="shared" si="8"/>
        <v>6</v>
      </c>
      <c r="I81" s="10">
        <f t="shared" si="2"/>
        <v>6.466666667</v>
      </c>
      <c r="J81" s="12">
        <v>15000.0</v>
      </c>
      <c r="K81" s="13"/>
      <c r="L81" s="13">
        <f t="shared" si="9"/>
        <v>12</v>
      </c>
      <c r="M81" s="10">
        <v>45078.0</v>
      </c>
      <c r="N81" s="14">
        <v>45078.0</v>
      </c>
      <c r="O81" s="10">
        <v>46172.0</v>
      </c>
      <c r="P81" s="10">
        <f t="shared" si="4"/>
        <v>36.46666667</v>
      </c>
      <c r="Q81" s="10">
        <v>12.0</v>
      </c>
      <c r="R81" s="10">
        <f t="shared" si="5"/>
        <v>24.46666667</v>
      </c>
      <c r="S81" s="10">
        <f t="shared" si="6"/>
        <v>0</v>
      </c>
      <c r="T81" s="10"/>
      <c r="U81" s="10">
        <f t="shared" si="10"/>
        <v>0</v>
      </c>
    </row>
    <row r="82" ht="14.25" customHeight="1">
      <c r="A82" s="1" t="s">
        <v>18</v>
      </c>
      <c r="B82" s="1">
        <v>30000.0</v>
      </c>
      <c r="C82" s="1">
        <v>100000.0</v>
      </c>
      <c r="D82" s="8">
        <v>81.0</v>
      </c>
      <c r="E82" s="9" t="s">
        <v>180</v>
      </c>
      <c r="F82" s="8" t="s">
        <v>181</v>
      </c>
      <c r="G82" s="11">
        <v>15000.0</v>
      </c>
      <c r="H82" s="10">
        <f t="shared" si="8"/>
        <v>6</v>
      </c>
      <c r="I82" s="10">
        <f t="shared" si="2"/>
        <v>6.466666667</v>
      </c>
      <c r="J82" s="12">
        <v>15000.0</v>
      </c>
      <c r="K82" s="13"/>
      <c r="L82" s="13">
        <f t="shared" si="9"/>
        <v>12</v>
      </c>
      <c r="M82" s="10">
        <v>45078.0</v>
      </c>
      <c r="N82" s="14">
        <v>45078.0</v>
      </c>
      <c r="O82" s="10">
        <v>46172.0</v>
      </c>
      <c r="P82" s="10">
        <f t="shared" si="4"/>
        <v>36.46666667</v>
      </c>
      <c r="Q82" s="10">
        <v>12.0</v>
      </c>
      <c r="R82" s="10">
        <f t="shared" si="5"/>
        <v>24.46666667</v>
      </c>
      <c r="S82" s="10">
        <f t="shared" si="6"/>
        <v>0</v>
      </c>
      <c r="T82" s="10"/>
      <c r="U82" s="10">
        <f t="shared" si="10"/>
        <v>0</v>
      </c>
    </row>
    <row r="83" ht="14.25" customHeight="1">
      <c r="A83" s="1" t="s">
        <v>18</v>
      </c>
      <c r="B83" s="1">
        <v>30000.0</v>
      </c>
      <c r="C83" s="1">
        <v>100000.0</v>
      </c>
      <c r="D83" s="8">
        <v>82.0</v>
      </c>
      <c r="E83" s="9" t="s">
        <v>182</v>
      </c>
      <c r="F83" s="8" t="s">
        <v>183</v>
      </c>
      <c r="G83" s="11">
        <v>15000.0</v>
      </c>
      <c r="H83" s="10">
        <f t="shared" si="8"/>
        <v>6</v>
      </c>
      <c r="I83" s="10">
        <f t="shared" si="2"/>
        <v>6.466666667</v>
      </c>
      <c r="J83" s="12">
        <v>15000.0</v>
      </c>
      <c r="K83" s="13"/>
      <c r="L83" s="13">
        <f t="shared" si="9"/>
        <v>12</v>
      </c>
      <c r="M83" s="10">
        <v>45078.0</v>
      </c>
      <c r="N83" s="14">
        <v>45078.0</v>
      </c>
      <c r="O83" s="10">
        <v>46172.0</v>
      </c>
      <c r="P83" s="10">
        <f t="shared" si="4"/>
        <v>36.46666667</v>
      </c>
      <c r="Q83" s="10">
        <v>12.0</v>
      </c>
      <c r="R83" s="10">
        <f t="shared" si="5"/>
        <v>24.46666667</v>
      </c>
      <c r="S83" s="10">
        <f t="shared" si="6"/>
        <v>0</v>
      </c>
      <c r="T83" s="10"/>
      <c r="U83" s="10">
        <f t="shared" si="10"/>
        <v>0</v>
      </c>
    </row>
    <row r="84" ht="14.25" customHeight="1">
      <c r="A84" s="1" t="s">
        <v>18</v>
      </c>
      <c r="B84" s="1">
        <v>30000.0</v>
      </c>
      <c r="C84" s="1">
        <v>100000.0</v>
      </c>
      <c r="D84" s="8">
        <v>83.0</v>
      </c>
      <c r="E84" s="9" t="s">
        <v>184</v>
      </c>
      <c r="F84" s="8" t="s">
        <v>185</v>
      </c>
      <c r="G84" s="11">
        <v>30000.0</v>
      </c>
      <c r="H84" s="10">
        <f t="shared" si="8"/>
        <v>12</v>
      </c>
      <c r="I84" s="10">
        <f t="shared" si="2"/>
        <v>0.4666666667</v>
      </c>
      <c r="J84" s="13"/>
      <c r="K84" s="13"/>
      <c r="L84" s="13">
        <f t="shared" si="9"/>
        <v>12</v>
      </c>
      <c r="M84" s="10">
        <v>45078.0</v>
      </c>
      <c r="N84" s="14">
        <v>45078.0</v>
      </c>
      <c r="O84" s="10">
        <v>46172.0</v>
      </c>
      <c r="P84" s="10">
        <f t="shared" si="4"/>
        <v>36.46666667</v>
      </c>
      <c r="Q84" s="10">
        <v>12.0</v>
      </c>
      <c r="R84" s="10">
        <f t="shared" si="5"/>
        <v>24.46666667</v>
      </c>
      <c r="S84" s="10">
        <f t="shared" si="6"/>
        <v>0</v>
      </c>
      <c r="T84" s="10"/>
      <c r="U84" s="10">
        <f t="shared" si="10"/>
        <v>0</v>
      </c>
    </row>
    <row r="85" ht="14.25" customHeight="1">
      <c r="A85" s="1" t="s">
        <v>18</v>
      </c>
      <c r="B85" s="1">
        <v>30000.0</v>
      </c>
      <c r="C85" s="1">
        <v>100000.0</v>
      </c>
      <c r="D85" s="8">
        <v>84.0</v>
      </c>
      <c r="E85" s="9" t="s">
        <v>186</v>
      </c>
      <c r="F85" s="10" t="s">
        <v>187</v>
      </c>
      <c r="G85" s="10"/>
      <c r="H85" s="10">
        <f t="shared" si="8"/>
        <v>0</v>
      </c>
      <c r="I85" s="10">
        <f t="shared" si="2"/>
        <v>12.46666667</v>
      </c>
      <c r="J85" s="13"/>
      <c r="K85" s="13"/>
      <c r="L85" s="13">
        <f t="shared" si="9"/>
        <v>12</v>
      </c>
      <c r="M85" s="10">
        <v>45078.0</v>
      </c>
      <c r="N85" s="14">
        <v>45078.0</v>
      </c>
      <c r="O85" s="10">
        <v>46172.0</v>
      </c>
      <c r="P85" s="10">
        <f t="shared" si="4"/>
        <v>36.46666667</v>
      </c>
      <c r="Q85" s="10">
        <v>12.0</v>
      </c>
      <c r="R85" s="10">
        <f t="shared" si="5"/>
        <v>24.46666667</v>
      </c>
      <c r="S85" s="10">
        <f t="shared" si="6"/>
        <v>0</v>
      </c>
      <c r="T85" s="10"/>
      <c r="U85" s="10">
        <f t="shared" si="10"/>
        <v>0</v>
      </c>
    </row>
    <row r="86" ht="14.25" customHeight="1">
      <c r="A86" s="1" t="s">
        <v>18</v>
      </c>
      <c r="B86" s="1">
        <v>30000.0</v>
      </c>
      <c r="C86" s="1">
        <v>100000.0</v>
      </c>
      <c r="D86" s="8">
        <v>85.0</v>
      </c>
      <c r="E86" s="9" t="s">
        <v>188</v>
      </c>
      <c r="F86" s="10" t="s">
        <v>189</v>
      </c>
      <c r="G86" s="11">
        <v>15000.0</v>
      </c>
      <c r="H86" s="10">
        <f t="shared" si="8"/>
        <v>6</v>
      </c>
      <c r="I86" s="10">
        <f t="shared" si="2"/>
        <v>6.466666667</v>
      </c>
      <c r="J86" s="12">
        <v>15000.0</v>
      </c>
      <c r="K86" s="13"/>
      <c r="L86" s="13">
        <f t="shared" si="9"/>
        <v>12</v>
      </c>
      <c r="M86" s="10">
        <v>45078.0</v>
      </c>
      <c r="N86" s="14">
        <v>45078.0</v>
      </c>
      <c r="O86" s="10">
        <v>46172.0</v>
      </c>
      <c r="P86" s="10">
        <f t="shared" si="4"/>
        <v>36.46666667</v>
      </c>
      <c r="Q86" s="10">
        <v>12.0</v>
      </c>
      <c r="R86" s="10">
        <f t="shared" si="5"/>
        <v>24.46666667</v>
      </c>
      <c r="S86" s="10">
        <f t="shared" si="6"/>
        <v>0</v>
      </c>
      <c r="T86" s="10"/>
      <c r="U86" s="10">
        <f t="shared" si="10"/>
        <v>0</v>
      </c>
    </row>
    <row r="87" ht="14.25" customHeight="1">
      <c r="A87" s="1" t="s">
        <v>18</v>
      </c>
      <c r="B87" s="1">
        <v>30000.0</v>
      </c>
      <c r="C87" s="1">
        <v>100000.0</v>
      </c>
      <c r="D87" s="8">
        <v>86.0</v>
      </c>
      <c r="E87" s="9" t="s">
        <v>190</v>
      </c>
      <c r="F87" s="8" t="s">
        <v>191</v>
      </c>
      <c r="G87" s="11">
        <v>15000.0</v>
      </c>
      <c r="H87" s="10">
        <f t="shared" si="8"/>
        <v>6</v>
      </c>
      <c r="I87" s="10">
        <f t="shared" si="2"/>
        <v>6.466666667</v>
      </c>
      <c r="J87" s="12">
        <v>15000.0</v>
      </c>
      <c r="K87" s="13"/>
      <c r="L87" s="13">
        <f t="shared" si="9"/>
        <v>12</v>
      </c>
      <c r="M87" s="10">
        <v>45078.0</v>
      </c>
      <c r="N87" s="14">
        <v>45078.0</v>
      </c>
      <c r="O87" s="10">
        <v>46172.0</v>
      </c>
      <c r="P87" s="10">
        <f t="shared" si="4"/>
        <v>36.46666667</v>
      </c>
      <c r="Q87" s="10">
        <v>12.0</v>
      </c>
      <c r="R87" s="10">
        <f t="shared" si="5"/>
        <v>24.46666667</v>
      </c>
      <c r="S87" s="10">
        <f t="shared" si="6"/>
        <v>0</v>
      </c>
      <c r="T87" s="10"/>
      <c r="U87" s="10">
        <f t="shared" si="10"/>
        <v>0</v>
      </c>
    </row>
    <row r="88" ht="14.25" customHeight="1">
      <c r="A88" s="1" t="s">
        <v>18</v>
      </c>
      <c r="B88" s="1">
        <v>30000.0</v>
      </c>
      <c r="C88" s="1">
        <v>100000.0</v>
      </c>
      <c r="D88" s="8">
        <v>87.0</v>
      </c>
      <c r="E88" s="9" t="s">
        <v>192</v>
      </c>
      <c r="F88" s="8" t="s">
        <v>193</v>
      </c>
      <c r="G88" s="11">
        <v>15000.0</v>
      </c>
      <c r="H88" s="10">
        <f t="shared" si="8"/>
        <v>6</v>
      </c>
      <c r="I88" s="10">
        <f t="shared" si="2"/>
        <v>6.466666667</v>
      </c>
      <c r="J88" s="12">
        <v>15000.0</v>
      </c>
      <c r="K88" s="13"/>
      <c r="L88" s="13">
        <f t="shared" si="9"/>
        <v>12</v>
      </c>
      <c r="M88" s="10">
        <v>45078.0</v>
      </c>
      <c r="N88" s="14">
        <v>45078.0</v>
      </c>
      <c r="O88" s="10">
        <v>46172.0</v>
      </c>
      <c r="P88" s="10">
        <f t="shared" si="4"/>
        <v>36.46666667</v>
      </c>
      <c r="Q88" s="10">
        <v>12.0</v>
      </c>
      <c r="R88" s="10">
        <f t="shared" si="5"/>
        <v>24.46666667</v>
      </c>
      <c r="S88" s="10">
        <f t="shared" si="6"/>
        <v>0</v>
      </c>
      <c r="T88" s="10"/>
      <c r="U88" s="10">
        <f t="shared" si="10"/>
        <v>0</v>
      </c>
    </row>
    <row r="89" ht="14.25" customHeight="1">
      <c r="A89" s="1" t="s">
        <v>18</v>
      </c>
      <c r="B89" s="1">
        <v>30000.0</v>
      </c>
      <c r="C89" s="1">
        <v>100000.0</v>
      </c>
      <c r="D89" s="8">
        <v>88.0</v>
      </c>
      <c r="E89" s="9" t="s">
        <v>194</v>
      </c>
      <c r="F89" s="8" t="s">
        <v>132</v>
      </c>
      <c r="G89" s="11">
        <v>15000.0</v>
      </c>
      <c r="H89" s="10">
        <f t="shared" si="8"/>
        <v>6</v>
      </c>
      <c r="I89" s="10">
        <f t="shared" si="2"/>
        <v>6.466666667</v>
      </c>
      <c r="J89" s="12">
        <v>15000.0</v>
      </c>
      <c r="K89" s="13"/>
      <c r="L89" s="13">
        <f t="shared" si="9"/>
        <v>12</v>
      </c>
      <c r="M89" s="10">
        <v>45078.0</v>
      </c>
      <c r="N89" s="14">
        <v>45078.0</v>
      </c>
      <c r="O89" s="10">
        <v>46172.0</v>
      </c>
      <c r="P89" s="10">
        <f t="shared" si="4"/>
        <v>36.46666667</v>
      </c>
      <c r="Q89" s="10">
        <v>12.0</v>
      </c>
      <c r="R89" s="10">
        <f t="shared" si="5"/>
        <v>24.46666667</v>
      </c>
      <c r="S89" s="10">
        <f t="shared" si="6"/>
        <v>0</v>
      </c>
      <c r="T89" s="10"/>
      <c r="U89" s="10">
        <f t="shared" si="10"/>
        <v>0</v>
      </c>
    </row>
    <row r="90" ht="14.25" customHeight="1">
      <c r="A90" s="1" t="s">
        <v>18</v>
      </c>
      <c r="B90" s="1">
        <v>30000.0</v>
      </c>
      <c r="C90" s="1">
        <v>100000.0</v>
      </c>
      <c r="D90" s="8">
        <v>89.0</v>
      </c>
      <c r="E90" s="9" t="s">
        <v>195</v>
      </c>
      <c r="F90" s="8" t="s">
        <v>196</v>
      </c>
      <c r="G90" s="11">
        <v>15000.0</v>
      </c>
      <c r="H90" s="10">
        <f t="shared" si="8"/>
        <v>6</v>
      </c>
      <c r="I90" s="10">
        <f t="shared" si="2"/>
        <v>6.466666667</v>
      </c>
      <c r="J90" s="12">
        <v>15000.0</v>
      </c>
      <c r="K90" s="13"/>
      <c r="L90" s="13">
        <f t="shared" si="9"/>
        <v>12</v>
      </c>
      <c r="M90" s="10">
        <v>45078.0</v>
      </c>
      <c r="N90" s="14">
        <v>45078.0</v>
      </c>
      <c r="O90" s="10">
        <v>46172.0</v>
      </c>
      <c r="P90" s="10">
        <f t="shared" si="4"/>
        <v>36.46666667</v>
      </c>
      <c r="Q90" s="10">
        <v>12.0</v>
      </c>
      <c r="R90" s="10">
        <f t="shared" si="5"/>
        <v>24.46666667</v>
      </c>
      <c r="S90" s="10">
        <f t="shared" si="6"/>
        <v>0</v>
      </c>
      <c r="T90" s="10"/>
      <c r="U90" s="10">
        <f t="shared" si="10"/>
        <v>0</v>
      </c>
    </row>
    <row r="91" ht="14.25" customHeight="1">
      <c r="A91" s="1" t="s">
        <v>18</v>
      </c>
      <c r="B91" s="1">
        <v>30000.0</v>
      </c>
      <c r="C91" s="1">
        <v>100000.0</v>
      </c>
      <c r="D91" s="8">
        <v>90.0</v>
      </c>
      <c r="E91" s="9" t="s">
        <v>197</v>
      </c>
      <c r="F91" s="10" t="s">
        <v>198</v>
      </c>
      <c r="G91" s="15">
        <v>15000.0</v>
      </c>
      <c r="H91" s="10">
        <f t="shared" si="8"/>
        <v>6</v>
      </c>
      <c r="I91" s="10">
        <f t="shared" si="2"/>
        <v>6.466666667</v>
      </c>
      <c r="J91" s="12">
        <v>15000.0</v>
      </c>
      <c r="K91" s="13"/>
      <c r="L91" s="13">
        <f t="shared" si="9"/>
        <v>12</v>
      </c>
      <c r="M91" s="10">
        <v>45078.0</v>
      </c>
      <c r="N91" s="14">
        <v>45078.0</v>
      </c>
      <c r="O91" s="10">
        <v>46172.0</v>
      </c>
      <c r="P91" s="10">
        <f t="shared" si="4"/>
        <v>36.46666667</v>
      </c>
      <c r="Q91" s="10">
        <v>12.0</v>
      </c>
      <c r="R91" s="10">
        <f t="shared" si="5"/>
        <v>24.46666667</v>
      </c>
      <c r="S91" s="10">
        <f t="shared" si="6"/>
        <v>0</v>
      </c>
      <c r="T91" s="10"/>
      <c r="U91" s="10">
        <f t="shared" si="10"/>
        <v>0</v>
      </c>
    </row>
    <row r="92" ht="14.25" customHeight="1">
      <c r="A92" s="1" t="s">
        <v>18</v>
      </c>
      <c r="B92" s="1">
        <v>30000.0</v>
      </c>
      <c r="C92" s="1">
        <v>100000.0</v>
      </c>
      <c r="D92" s="8">
        <v>91.0</v>
      </c>
      <c r="E92" s="9" t="s">
        <v>199</v>
      </c>
      <c r="F92" s="8" t="s">
        <v>200</v>
      </c>
      <c r="G92" s="11">
        <v>15000.0</v>
      </c>
      <c r="H92" s="10">
        <f t="shared" si="8"/>
        <v>6</v>
      </c>
      <c r="I92" s="10">
        <f t="shared" si="2"/>
        <v>6.466666667</v>
      </c>
      <c r="J92" s="12">
        <v>15000.0</v>
      </c>
      <c r="K92" s="13"/>
      <c r="L92" s="13">
        <f t="shared" si="9"/>
        <v>12</v>
      </c>
      <c r="M92" s="10">
        <v>45078.0</v>
      </c>
      <c r="N92" s="14">
        <v>45078.0</v>
      </c>
      <c r="O92" s="10">
        <v>46172.0</v>
      </c>
      <c r="P92" s="10">
        <f t="shared" si="4"/>
        <v>36.46666667</v>
      </c>
      <c r="Q92" s="10">
        <v>12.0</v>
      </c>
      <c r="R92" s="10">
        <f t="shared" si="5"/>
        <v>24.46666667</v>
      </c>
      <c r="S92" s="10">
        <f t="shared" si="6"/>
        <v>0</v>
      </c>
      <c r="T92" s="10"/>
      <c r="U92" s="10">
        <f t="shared" si="10"/>
        <v>0</v>
      </c>
    </row>
    <row r="93" ht="14.25" customHeight="1">
      <c r="A93" s="1" t="s">
        <v>18</v>
      </c>
      <c r="B93" s="1">
        <v>30000.0</v>
      </c>
      <c r="C93" s="1">
        <v>100000.0</v>
      </c>
      <c r="D93" s="8">
        <v>92.0</v>
      </c>
      <c r="E93" s="9" t="s">
        <v>201</v>
      </c>
      <c r="F93" s="8" t="s">
        <v>202</v>
      </c>
      <c r="G93" s="11">
        <v>15000.0</v>
      </c>
      <c r="H93" s="10">
        <f t="shared" si="8"/>
        <v>6</v>
      </c>
      <c r="I93" s="10">
        <f t="shared" si="2"/>
        <v>6.466666667</v>
      </c>
      <c r="J93" s="12">
        <v>15000.0</v>
      </c>
      <c r="K93" s="19"/>
      <c r="L93" s="13">
        <f t="shared" si="9"/>
        <v>12</v>
      </c>
      <c r="M93" s="10">
        <v>45078.0</v>
      </c>
      <c r="N93" s="14">
        <v>45078.0</v>
      </c>
      <c r="O93" s="10">
        <v>46172.0</v>
      </c>
      <c r="P93" s="10">
        <f t="shared" si="4"/>
        <v>36.46666667</v>
      </c>
      <c r="Q93" s="10">
        <v>12.0</v>
      </c>
      <c r="R93" s="10">
        <f t="shared" si="5"/>
        <v>24.46666667</v>
      </c>
      <c r="S93" s="10">
        <f t="shared" si="6"/>
        <v>0</v>
      </c>
      <c r="T93" s="10"/>
      <c r="U93" s="10">
        <f t="shared" si="10"/>
        <v>0</v>
      </c>
    </row>
    <row r="94" ht="14.25" customHeight="1">
      <c r="A94" s="21" t="s">
        <v>203</v>
      </c>
      <c r="B94" s="1"/>
      <c r="C94" s="1"/>
      <c r="D94" s="8">
        <v>93.0</v>
      </c>
      <c r="E94" s="8" t="s">
        <v>204</v>
      </c>
      <c r="F94" s="10"/>
      <c r="G94" s="10"/>
      <c r="H94" s="10">
        <f t="shared" si="8"/>
        <v>0</v>
      </c>
      <c r="I94" s="10">
        <f t="shared" si="2"/>
        <v>0</v>
      </c>
      <c r="J94" s="13"/>
      <c r="K94" s="13" t="s">
        <v>205</v>
      </c>
      <c r="L94" s="13">
        <f t="shared" si="9"/>
        <v>0</v>
      </c>
      <c r="M94" s="10">
        <v>45078.0</v>
      </c>
      <c r="N94" s="14">
        <v>46172.0</v>
      </c>
      <c r="O94" s="10">
        <v>46172.0</v>
      </c>
      <c r="P94" s="10">
        <f t="shared" si="4"/>
        <v>0</v>
      </c>
      <c r="Q94" s="10"/>
      <c r="R94" s="10">
        <f t="shared" si="5"/>
        <v>0</v>
      </c>
      <c r="S94" s="10">
        <f t="shared" si="6"/>
        <v>36.46666667</v>
      </c>
      <c r="T94" s="10">
        <v>36.0</v>
      </c>
      <c r="U94" s="10">
        <f t="shared" si="10"/>
        <v>90000</v>
      </c>
    </row>
    <row r="95" ht="14.25" customHeight="1">
      <c r="A95" s="21" t="s">
        <v>203</v>
      </c>
      <c r="B95" s="1"/>
      <c r="C95" s="1"/>
      <c r="D95" s="8">
        <v>94.0</v>
      </c>
      <c r="E95" s="8" t="s">
        <v>206</v>
      </c>
      <c r="F95" s="10"/>
      <c r="G95" s="10"/>
      <c r="H95" s="10">
        <f t="shared" si="8"/>
        <v>0</v>
      </c>
      <c r="I95" s="10">
        <f t="shared" si="2"/>
        <v>0</v>
      </c>
      <c r="J95" s="13"/>
      <c r="K95" s="13" t="s">
        <v>205</v>
      </c>
      <c r="L95" s="13">
        <f t="shared" si="9"/>
        <v>0</v>
      </c>
      <c r="M95" s="10">
        <v>45078.0</v>
      </c>
      <c r="N95" s="14">
        <v>46172.0</v>
      </c>
      <c r="O95" s="10">
        <v>46172.0</v>
      </c>
      <c r="P95" s="10">
        <f t="shared" si="4"/>
        <v>0</v>
      </c>
      <c r="Q95" s="10"/>
      <c r="R95" s="10">
        <f t="shared" si="5"/>
        <v>0</v>
      </c>
      <c r="S95" s="10">
        <f t="shared" si="6"/>
        <v>36.46666667</v>
      </c>
      <c r="T95" s="10">
        <v>36.0</v>
      </c>
      <c r="U95" s="10">
        <f t="shared" si="10"/>
        <v>90000</v>
      </c>
    </row>
    <row r="96" ht="14.25" customHeight="1">
      <c r="A96" s="21" t="s">
        <v>203</v>
      </c>
      <c r="B96" s="1"/>
      <c r="C96" s="1"/>
      <c r="D96" s="8">
        <v>95.0</v>
      </c>
      <c r="E96" s="8" t="s">
        <v>207</v>
      </c>
      <c r="F96" s="10"/>
      <c r="G96" s="10"/>
      <c r="H96" s="10">
        <f t="shared" si="8"/>
        <v>0</v>
      </c>
      <c r="I96" s="10">
        <f t="shared" si="2"/>
        <v>0</v>
      </c>
      <c r="J96" s="13"/>
      <c r="K96" s="13" t="s">
        <v>205</v>
      </c>
      <c r="L96" s="13">
        <f t="shared" si="9"/>
        <v>0</v>
      </c>
      <c r="M96" s="10">
        <v>45078.0</v>
      </c>
      <c r="N96" s="14">
        <v>46172.0</v>
      </c>
      <c r="O96" s="10">
        <v>46172.0</v>
      </c>
      <c r="P96" s="10">
        <f t="shared" si="4"/>
        <v>0</v>
      </c>
      <c r="Q96" s="10"/>
      <c r="R96" s="10">
        <f t="shared" si="5"/>
        <v>0</v>
      </c>
      <c r="S96" s="10">
        <f t="shared" si="6"/>
        <v>36.46666667</v>
      </c>
      <c r="T96" s="10">
        <v>36.0</v>
      </c>
      <c r="U96" s="10">
        <f t="shared" si="10"/>
        <v>90000</v>
      </c>
    </row>
    <row r="97" ht="14.25" customHeight="1">
      <c r="A97" s="1" t="s">
        <v>18</v>
      </c>
      <c r="B97" s="1">
        <v>30000.0</v>
      </c>
      <c r="C97" s="1">
        <v>100000.0</v>
      </c>
      <c r="D97" s="8">
        <v>96.0</v>
      </c>
      <c r="E97" s="9" t="s">
        <v>208</v>
      </c>
      <c r="F97" s="8" t="s">
        <v>209</v>
      </c>
      <c r="G97" s="11">
        <v>15000.0</v>
      </c>
      <c r="H97" s="10">
        <f t="shared" si="8"/>
        <v>6</v>
      </c>
      <c r="I97" s="10">
        <f t="shared" si="2"/>
        <v>6.466666667</v>
      </c>
      <c r="J97" s="12">
        <v>15000.0</v>
      </c>
      <c r="K97" s="19"/>
      <c r="L97" s="13">
        <f t="shared" si="9"/>
        <v>12</v>
      </c>
      <c r="M97" s="10">
        <v>45078.0</v>
      </c>
      <c r="N97" s="14">
        <v>45078.0</v>
      </c>
      <c r="O97" s="10">
        <v>46172.0</v>
      </c>
      <c r="P97" s="10">
        <f t="shared" si="4"/>
        <v>36.46666667</v>
      </c>
      <c r="Q97" s="10">
        <v>12.0</v>
      </c>
      <c r="R97" s="10">
        <f t="shared" si="5"/>
        <v>24.46666667</v>
      </c>
      <c r="S97" s="10">
        <f t="shared" si="6"/>
        <v>0</v>
      </c>
      <c r="T97" s="10"/>
      <c r="U97" s="10">
        <f t="shared" si="10"/>
        <v>0</v>
      </c>
    </row>
    <row r="98" ht="14.25" customHeight="1">
      <c r="A98" s="1" t="s">
        <v>18</v>
      </c>
      <c r="B98" s="1">
        <v>30000.0</v>
      </c>
      <c r="C98" s="1">
        <v>100000.0</v>
      </c>
      <c r="D98" s="8">
        <v>97.0</v>
      </c>
      <c r="E98" s="9" t="s">
        <v>210</v>
      </c>
      <c r="F98" s="8" t="s">
        <v>211</v>
      </c>
      <c r="G98" s="11">
        <v>15000.0</v>
      </c>
      <c r="H98" s="10">
        <f t="shared" si="8"/>
        <v>6</v>
      </c>
      <c r="I98" s="10">
        <f t="shared" si="2"/>
        <v>6.466666667</v>
      </c>
      <c r="J98" s="12">
        <v>15000.0</v>
      </c>
      <c r="K98" s="19"/>
      <c r="L98" s="13">
        <f t="shared" si="9"/>
        <v>12</v>
      </c>
      <c r="M98" s="10">
        <v>45078.0</v>
      </c>
      <c r="N98" s="14">
        <v>45078.0</v>
      </c>
      <c r="O98" s="10">
        <v>46172.0</v>
      </c>
      <c r="P98" s="10">
        <f t="shared" si="4"/>
        <v>36.46666667</v>
      </c>
      <c r="Q98" s="10">
        <v>12.0</v>
      </c>
      <c r="R98" s="10">
        <f t="shared" si="5"/>
        <v>24.46666667</v>
      </c>
      <c r="S98" s="10">
        <f t="shared" si="6"/>
        <v>0</v>
      </c>
      <c r="T98" s="10"/>
      <c r="U98" s="10">
        <f t="shared" si="10"/>
        <v>0</v>
      </c>
    </row>
    <row r="99" ht="14.25" customHeight="1">
      <c r="A99" s="1" t="s">
        <v>18</v>
      </c>
      <c r="B99" s="1">
        <v>30000.0</v>
      </c>
      <c r="C99" s="1">
        <v>100000.0</v>
      </c>
      <c r="D99" s="8">
        <v>98.0</v>
      </c>
      <c r="E99" s="9" t="s">
        <v>212</v>
      </c>
      <c r="F99" s="8" t="s">
        <v>213</v>
      </c>
      <c r="G99" s="11">
        <v>30000.0</v>
      </c>
      <c r="H99" s="10">
        <f t="shared" si="8"/>
        <v>12</v>
      </c>
      <c r="I99" s="10">
        <f t="shared" si="2"/>
        <v>0.4666666667</v>
      </c>
      <c r="J99" s="19"/>
      <c r="K99" s="19"/>
      <c r="L99" s="13">
        <f t="shared" si="9"/>
        <v>12</v>
      </c>
      <c r="M99" s="10">
        <v>45078.0</v>
      </c>
      <c r="N99" s="14">
        <v>45078.0</v>
      </c>
      <c r="O99" s="10">
        <v>46172.0</v>
      </c>
      <c r="P99" s="10">
        <f t="shared" si="4"/>
        <v>36.46666667</v>
      </c>
      <c r="Q99" s="10">
        <v>12.0</v>
      </c>
      <c r="R99" s="10">
        <f t="shared" si="5"/>
        <v>24.46666667</v>
      </c>
      <c r="S99" s="10">
        <f t="shared" si="6"/>
        <v>0</v>
      </c>
      <c r="T99" s="10"/>
      <c r="U99" s="10">
        <f t="shared" si="10"/>
        <v>0</v>
      </c>
    </row>
    <row r="100" ht="14.25" customHeight="1">
      <c r="A100" s="21" t="s">
        <v>107</v>
      </c>
      <c r="B100" s="1">
        <v>30000.0</v>
      </c>
      <c r="C100" s="1">
        <v>100000.0</v>
      </c>
      <c r="D100" s="8">
        <v>99.0</v>
      </c>
      <c r="E100" s="22" t="s">
        <v>214</v>
      </c>
      <c r="F100" s="8" t="s">
        <v>215</v>
      </c>
      <c r="G100" s="11">
        <v>15000.0</v>
      </c>
      <c r="H100" s="10">
        <f t="shared" si="8"/>
        <v>6</v>
      </c>
      <c r="I100" s="10">
        <f t="shared" si="2"/>
        <v>-5.8</v>
      </c>
      <c r="J100" s="19"/>
      <c r="K100" s="19"/>
      <c r="L100" s="13">
        <f t="shared" si="9"/>
        <v>12</v>
      </c>
      <c r="M100" s="10">
        <v>45078.0</v>
      </c>
      <c r="N100" s="14">
        <v>45536.0</v>
      </c>
      <c r="O100" s="10">
        <v>46172.0</v>
      </c>
      <c r="P100" s="10">
        <f t="shared" si="4"/>
        <v>21.2</v>
      </c>
      <c r="Q100" s="8">
        <v>9.0</v>
      </c>
      <c r="R100" s="10">
        <f t="shared" si="5"/>
        <v>12.2</v>
      </c>
      <c r="S100" s="10">
        <f t="shared" si="6"/>
        <v>15.26666667</v>
      </c>
      <c r="T100" s="10">
        <v>15.0</v>
      </c>
      <c r="U100" s="10">
        <f t="shared" si="10"/>
        <v>37500</v>
      </c>
    </row>
    <row r="101" ht="14.25" customHeight="1">
      <c r="A101" s="1" t="s">
        <v>18</v>
      </c>
      <c r="B101" s="1">
        <v>30000.0</v>
      </c>
      <c r="C101" s="1">
        <v>100000.0</v>
      </c>
      <c r="D101" s="8">
        <v>100.0</v>
      </c>
      <c r="E101" s="9" t="s">
        <v>216</v>
      </c>
      <c r="F101" s="10" t="s">
        <v>217</v>
      </c>
      <c r="G101" s="10"/>
      <c r="H101" s="10">
        <f t="shared" si="8"/>
        <v>0</v>
      </c>
      <c r="I101" s="10">
        <f t="shared" si="2"/>
        <v>12.46666667</v>
      </c>
      <c r="J101" s="13"/>
      <c r="K101" s="13"/>
      <c r="L101" s="13">
        <f t="shared" si="9"/>
        <v>12</v>
      </c>
      <c r="M101" s="10">
        <v>45078.0</v>
      </c>
      <c r="N101" s="14">
        <v>45078.0</v>
      </c>
      <c r="O101" s="10">
        <v>46172.0</v>
      </c>
      <c r="P101" s="10">
        <f t="shared" si="4"/>
        <v>36.46666667</v>
      </c>
      <c r="Q101" s="10">
        <v>12.0</v>
      </c>
      <c r="R101" s="10">
        <f t="shared" si="5"/>
        <v>24.46666667</v>
      </c>
      <c r="S101" s="10">
        <f t="shared" si="6"/>
        <v>0</v>
      </c>
      <c r="T101" s="10"/>
      <c r="U101" s="10">
        <f t="shared" si="10"/>
        <v>0</v>
      </c>
    </row>
    <row r="102" ht="14.25" customHeight="1">
      <c r="A102" s="1" t="s">
        <v>18</v>
      </c>
      <c r="B102" s="1">
        <v>30000.0</v>
      </c>
      <c r="C102" s="1">
        <v>100000.0</v>
      </c>
      <c r="D102" s="8">
        <v>101.0</v>
      </c>
      <c r="E102" s="9" t="s">
        <v>218</v>
      </c>
      <c r="F102" s="8" t="s">
        <v>219</v>
      </c>
      <c r="G102" s="11">
        <v>30000.0</v>
      </c>
      <c r="H102" s="10">
        <f t="shared" si="8"/>
        <v>12</v>
      </c>
      <c r="I102" s="10">
        <f t="shared" si="2"/>
        <v>0.4666666667</v>
      </c>
      <c r="J102" s="13"/>
      <c r="K102" s="13"/>
      <c r="L102" s="13">
        <f t="shared" si="9"/>
        <v>12</v>
      </c>
      <c r="M102" s="10">
        <v>45078.0</v>
      </c>
      <c r="N102" s="14">
        <v>45078.0</v>
      </c>
      <c r="O102" s="10">
        <v>46172.0</v>
      </c>
      <c r="P102" s="10">
        <f t="shared" si="4"/>
        <v>36.46666667</v>
      </c>
      <c r="Q102" s="10">
        <v>12.0</v>
      </c>
      <c r="R102" s="10">
        <f t="shared" si="5"/>
        <v>24.46666667</v>
      </c>
      <c r="S102" s="10">
        <f t="shared" si="6"/>
        <v>0</v>
      </c>
      <c r="T102" s="10"/>
      <c r="U102" s="10">
        <f t="shared" si="10"/>
        <v>0</v>
      </c>
    </row>
    <row r="103" ht="14.25" customHeight="1">
      <c r="A103" s="1" t="s">
        <v>18</v>
      </c>
      <c r="B103" s="1">
        <v>30000.0</v>
      </c>
      <c r="C103" s="1">
        <v>100000.0</v>
      </c>
      <c r="D103" s="8">
        <v>102.0</v>
      </c>
      <c r="E103" s="9" t="s">
        <v>220</v>
      </c>
      <c r="F103" s="8" t="s">
        <v>221</v>
      </c>
      <c r="G103" s="11">
        <v>15000.0</v>
      </c>
      <c r="H103" s="10">
        <f t="shared" si="8"/>
        <v>6</v>
      </c>
      <c r="I103" s="10">
        <f t="shared" si="2"/>
        <v>6.466666667</v>
      </c>
      <c r="J103" s="12">
        <v>15000.0</v>
      </c>
      <c r="K103" s="13"/>
      <c r="L103" s="13">
        <f t="shared" si="9"/>
        <v>12</v>
      </c>
      <c r="M103" s="10">
        <v>45078.0</v>
      </c>
      <c r="N103" s="14">
        <v>45078.0</v>
      </c>
      <c r="O103" s="10">
        <v>46172.0</v>
      </c>
      <c r="P103" s="10">
        <f t="shared" si="4"/>
        <v>36.46666667</v>
      </c>
      <c r="Q103" s="10">
        <v>12.0</v>
      </c>
      <c r="R103" s="10">
        <f t="shared" si="5"/>
        <v>24.46666667</v>
      </c>
      <c r="S103" s="10">
        <f t="shared" si="6"/>
        <v>0</v>
      </c>
      <c r="T103" s="10"/>
      <c r="U103" s="10">
        <f t="shared" si="10"/>
        <v>0</v>
      </c>
    </row>
    <row r="104" ht="14.25" customHeight="1">
      <c r="A104" s="1" t="s">
        <v>18</v>
      </c>
      <c r="B104" s="1">
        <v>30000.0</v>
      </c>
      <c r="C104" s="1">
        <v>100000.0</v>
      </c>
      <c r="D104" s="8">
        <v>103.0</v>
      </c>
      <c r="E104" s="9" t="s">
        <v>222</v>
      </c>
      <c r="F104" s="8" t="s">
        <v>221</v>
      </c>
      <c r="G104" s="11">
        <v>15000.0</v>
      </c>
      <c r="H104" s="10">
        <f t="shared" si="8"/>
        <v>6</v>
      </c>
      <c r="I104" s="10">
        <f t="shared" si="2"/>
        <v>6.466666667</v>
      </c>
      <c r="J104" s="12">
        <v>15000.0</v>
      </c>
      <c r="K104" s="13"/>
      <c r="L104" s="13">
        <f t="shared" si="9"/>
        <v>12</v>
      </c>
      <c r="M104" s="10">
        <v>45078.0</v>
      </c>
      <c r="N104" s="14">
        <v>45078.0</v>
      </c>
      <c r="O104" s="10">
        <v>46172.0</v>
      </c>
      <c r="P104" s="10">
        <f t="shared" si="4"/>
        <v>36.46666667</v>
      </c>
      <c r="Q104" s="10">
        <v>12.0</v>
      </c>
      <c r="R104" s="10">
        <f t="shared" si="5"/>
        <v>24.46666667</v>
      </c>
      <c r="S104" s="10">
        <f t="shared" si="6"/>
        <v>0</v>
      </c>
      <c r="T104" s="10"/>
      <c r="U104" s="10">
        <f t="shared" si="10"/>
        <v>0</v>
      </c>
    </row>
    <row r="105" ht="14.25" customHeight="1">
      <c r="A105" s="1" t="s">
        <v>18</v>
      </c>
      <c r="B105" s="1">
        <v>30000.0</v>
      </c>
      <c r="C105" s="1">
        <v>100000.0</v>
      </c>
      <c r="D105" s="8">
        <v>104.0</v>
      </c>
      <c r="E105" s="9" t="s">
        <v>223</v>
      </c>
      <c r="F105" s="8" t="s">
        <v>224</v>
      </c>
      <c r="G105" s="11">
        <v>15000.0</v>
      </c>
      <c r="H105" s="10">
        <f t="shared" si="8"/>
        <v>6</v>
      </c>
      <c r="I105" s="10">
        <f t="shared" si="2"/>
        <v>6.466666667</v>
      </c>
      <c r="J105" s="12">
        <v>15000.0</v>
      </c>
      <c r="K105" s="13"/>
      <c r="L105" s="13">
        <f t="shared" si="9"/>
        <v>12</v>
      </c>
      <c r="M105" s="10">
        <v>45078.0</v>
      </c>
      <c r="N105" s="14">
        <v>45078.0</v>
      </c>
      <c r="O105" s="10">
        <v>46172.0</v>
      </c>
      <c r="P105" s="10">
        <f t="shared" si="4"/>
        <v>36.46666667</v>
      </c>
      <c r="Q105" s="10">
        <v>12.0</v>
      </c>
      <c r="R105" s="10">
        <f t="shared" si="5"/>
        <v>24.46666667</v>
      </c>
      <c r="S105" s="10">
        <f t="shared" si="6"/>
        <v>0</v>
      </c>
      <c r="T105" s="10"/>
      <c r="U105" s="10">
        <f t="shared" si="10"/>
        <v>0</v>
      </c>
    </row>
    <row r="106" ht="14.25" customHeight="1">
      <c r="A106" s="1" t="s">
        <v>18</v>
      </c>
      <c r="B106" s="1">
        <v>30000.0</v>
      </c>
      <c r="C106" s="1">
        <v>100000.0</v>
      </c>
      <c r="D106" s="8">
        <v>105.0</v>
      </c>
      <c r="E106" s="9" t="s">
        <v>225</v>
      </c>
      <c r="F106" s="10" t="s">
        <v>226</v>
      </c>
      <c r="G106" s="15">
        <v>15000.0</v>
      </c>
      <c r="H106" s="10">
        <f t="shared" si="8"/>
        <v>6</v>
      </c>
      <c r="I106" s="10">
        <f t="shared" si="2"/>
        <v>6.466666667</v>
      </c>
      <c r="J106" s="12">
        <v>15000.0</v>
      </c>
      <c r="K106" s="13"/>
      <c r="L106" s="13">
        <f t="shared" si="9"/>
        <v>12</v>
      </c>
      <c r="M106" s="10">
        <v>45078.0</v>
      </c>
      <c r="N106" s="14">
        <v>45078.0</v>
      </c>
      <c r="O106" s="10">
        <v>46172.0</v>
      </c>
      <c r="P106" s="10">
        <f t="shared" si="4"/>
        <v>36.46666667</v>
      </c>
      <c r="Q106" s="10">
        <v>12.0</v>
      </c>
      <c r="R106" s="10">
        <f t="shared" si="5"/>
        <v>24.46666667</v>
      </c>
      <c r="S106" s="10">
        <f t="shared" si="6"/>
        <v>0</v>
      </c>
      <c r="T106" s="10"/>
      <c r="U106" s="10">
        <f t="shared" si="10"/>
        <v>0</v>
      </c>
    </row>
    <row r="107" ht="14.25" customHeight="1">
      <c r="A107" s="1" t="s">
        <v>18</v>
      </c>
      <c r="B107" s="1">
        <v>30000.0</v>
      </c>
      <c r="C107" s="1">
        <v>100000.0</v>
      </c>
      <c r="D107" s="8">
        <v>106.0</v>
      </c>
      <c r="E107" s="9" t="s">
        <v>227</v>
      </c>
      <c r="F107" s="8" t="s">
        <v>228</v>
      </c>
      <c r="G107" s="11">
        <v>15000.0</v>
      </c>
      <c r="H107" s="10">
        <f t="shared" si="8"/>
        <v>6</v>
      </c>
      <c r="I107" s="10">
        <f t="shared" si="2"/>
        <v>6.466666667</v>
      </c>
      <c r="J107" s="12">
        <v>15000.0</v>
      </c>
      <c r="K107" s="13"/>
      <c r="L107" s="13">
        <f t="shared" si="9"/>
        <v>12</v>
      </c>
      <c r="M107" s="10">
        <v>45078.0</v>
      </c>
      <c r="N107" s="14">
        <v>45078.0</v>
      </c>
      <c r="O107" s="10">
        <v>46172.0</v>
      </c>
      <c r="P107" s="10">
        <f t="shared" si="4"/>
        <v>36.46666667</v>
      </c>
      <c r="Q107" s="10">
        <v>12.0</v>
      </c>
      <c r="R107" s="10">
        <f t="shared" si="5"/>
        <v>24.46666667</v>
      </c>
      <c r="S107" s="10">
        <f t="shared" si="6"/>
        <v>0</v>
      </c>
      <c r="T107" s="10"/>
      <c r="U107" s="10">
        <f t="shared" si="10"/>
        <v>0</v>
      </c>
    </row>
    <row r="108" ht="14.25" customHeight="1">
      <c r="A108" s="1" t="s">
        <v>18</v>
      </c>
      <c r="B108" s="1">
        <v>30000.0</v>
      </c>
      <c r="C108" s="1">
        <v>100000.0</v>
      </c>
      <c r="D108" s="8">
        <v>107.0</v>
      </c>
      <c r="E108" s="9" t="s">
        <v>229</v>
      </c>
      <c r="F108" s="8" t="s">
        <v>230</v>
      </c>
      <c r="G108" s="11">
        <v>30000.0</v>
      </c>
      <c r="H108" s="10">
        <f t="shared" si="8"/>
        <v>12</v>
      </c>
      <c r="I108" s="10">
        <f t="shared" si="2"/>
        <v>0.4666666667</v>
      </c>
      <c r="J108" s="13"/>
      <c r="K108" s="13"/>
      <c r="L108" s="13">
        <f t="shared" si="9"/>
        <v>12</v>
      </c>
      <c r="M108" s="10">
        <v>45078.0</v>
      </c>
      <c r="N108" s="14">
        <v>45078.0</v>
      </c>
      <c r="O108" s="10">
        <v>46172.0</v>
      </c>
      <c r="P108" s="10">
        <f t="shared" si="4"/>
        <v>36.46666667</v>
      </c>
      <c r="Q108" s="10">
        <v>12.0</v>
      </c>
      <c r="R108" s="10">
        <f t="shared" si="5"/>
        <v>24.46666667</v>
      </c>
      <c r="S108" s="10">
        <f t="shared" si="6"/>
        <v>0</v>
      </c>
      <c r="T108" s="10"/>
      <c r="U108" s="10">
        <f t="shared" si="10"/>
        <v>0</v>
      </c>
    </row>
    <row r="109" ht="14.25" customHeight="1">
      <c r="A109" s="1" t="s">
        <v>18</v>
      </c>
      <c r="B109" s="1">
        <v>30000.0</v>
      </c>
      <c r="C109" s="1">
        <v>100000.0</v>
      </c>
      <c r="D109" s="8">
        <v>108.0</v>
      </c>
      <c r="E109" s="9" t="s">
        <v>231</v>
      </c>
      <c r="F109" s="8" t="s">
        <v>232</v>
      </c>
      <c r="G109" s="11">
        <v>15000.0</v>
      </c>
      <c r="H109" s="10">
        <f t="shared" si="8"/>
        <v>6</v>
      </c>
      <c r="I109" s="10">
        <f t="shared" si="2"/>
        <v>6.466666667</v>
      </c>
      <c r="J109" s="12">
        <v>15000.0</v>
      </c>
      <c r="K109" s="19"/>
      <c r="L109" s="13">
        <f t="shared" si="9"/>
        <v>12</v>
      </c>
      <c r="M109" s="10">
        <v>45078.0</v>
      </c>
      <c r="N109" s="14">
        <v>45078.0</v>
      </c>
      <c r="O109" s="10">
        <v>46172.0</v>
      </c>
      <c r="P109" s="10">
        <f t="shared" si="4"/>
        <v>36.46666667</v>
      </c>
      <c r="Q109" s="10">
        <v>12.0</v>
      </c>
      <c r="R109" s="10">
        <f t="shared" si="5"/>
        <v>24.46666667</v>
      </c>
      <c r="S109" s="10">
        <f t="shared" si="6"/>
        <v>0</v>
      </c>
      <c r="T109" s="10"/>
      <c r="U109" s="10">
        <f t="shared" si="10"/>
        <v>0</v>
      </c>
    </row>
    <row r="110" ht="14.25" customHeight="1">
      <c r="A110" s="1" t="s">
        <v>18</v>
      </c>
      <c r="B110" s="1">
        <v>30000.0</v>
      </c>
      <c r="C110" s="1">
        <v>100000.0</v>
      </c>
      <c r="D110" s="8">
        <v>109.0</v>
      </c>
      <c r="E110" s="9" t="s">
        <v>233</v>
      </c>
      <c r="F110" s="10" t="s">
        <v>234</v>
      </c>
      <c r="G110" s="15">
        <v>15000.0</v>
      </c>
      <c r="H110" s="10">
        <f t="shared" si="8"/>
        <v>6</v>
      </c>
      <c r="I110" s="10">
        <f t="shared" si="2"/>
        <v>6.466666667</v>
      </c>
      <c r="J110" s="12">
        <v>15000.0</v>
      </c>
      <c r="K110" s="19"/>
      <c r="L110" s="13">
        <f t="shared" si="9"/>
        <v>12</v>
      </c>
      <c r="M110" s="10">
        <v>45078.0</v>
      </c>
      <c r="N110" s="14">
        <v>45078.0</v>
      </c>
      <c r="O110" s="10">
        <v>46172.0</v>
      </c>
      <c r="P110" s="10">
        <f t="shared" si="4"/>
        <v>36.46666667</v>
      </c>
      <c r="Q110" s="10">
        <v>12.0</v>
      </c>
      <c r="R110" s="10">
        <f t="shared" si="5"/>
        <v>24.46666667</v>
      </c>
      <c r="S110" s="10">
        <f t="shared" si="6"/>
        <v>0</v>
      </c>
      <c r="T110" s="10"/>
      <c r="U110" s="10">
        <f t="shared" si="10"/>
        <v>0</v>
      </c>
    </row>
    <row r="111" ht="14.25" customHeight="1">
      <c r="A111" s="1" t="s">
        <v>18</v>
      </c>
      <c r="B111" s="16">
        <v>30000.0</v>
      </c>
      <c r="C111" s="16">
        <v>100000.0</v>
      </c>
      <c r="D111" s="8">
        <v>110.0</v>
      </c>
      <c r="E111" s="9" t="s">
        <v>235</v>
      </c>
      <c r="F111" s="8" t="s">
        <v>236</v>
      </c>
      <c r="G111" s="11">
        <v>15000.0</v>
      </c>
      <c r="H111" s="10">
        <f t="shared" si="8"/>
        <v>6</v>
      </c>
      <c r="I111" s="10">
        <f t="shared" si="2"/>
        <v>6.466666667</v>
      </c>
      <c r="J111" s="12">
        <v>15000.0</v>
      </c>
      <c r="K111" s="19"/>
      <c r="L111" s="13">
        <f t="shared" si="9"/>
        <v>12</v>
      </c>
      <c r="M111" s="10">
        <v>45078.0</v>
      </c>
      <c r="N111" s="14">
        <v>45078.0</v>
      </c>
      <c r="O111" s="10">
        <v>46172.0</v>
      </c>
      <c r="P111" s="10">
        <f t="shared" si="4"/>
        <v>36.46666667</v>
      </c>
      <c r="Q111" s="10">
        <v>12.0</v>
      </c>
      <c r="R111" s="10">
        <f t="shared" si="5"/>
        <v>24.46666667</v>
      </c>
      <c r="S111" s="10">
        <f t="shared" si="6"/>
        <v>0</v>
      </c>
      <c r="T111" s="10"/>
      <c r="U111" s="10">
        <f t="shared" si="10"/>
        <v>0</v>
      </c>
    </row>
    <row r="112" ht="14.25" customHeight="1">
      <c r="A112" s="1" t="s">
        <v>18</v>
      </c>
      <c r="B112" s="1">
        <v>30000.0</v>
      </c>
      <c r="C112" s="1">
        <v>100000.0</v>
      </c>
      <c r="D112" s="8">
        <v>111.0</v>
      </c>
      <c r="E112" s="9" t="s">
        <v>237</v>
      </c>
      <c r="F112" s="8" t="s">
        <v>238</v>
      </c>
      <c r="G112" s="11">
        <v>15000.0</v>
      </c>
      <c r="H112" s="10">
        <f t="shared" si="8"/>
        <v>6</v>
      </c>
      <c r="I112" s="10">
        <f t="shared" si="2"/>
        <v>6.466666667</v>
      </c>
      <c r="J112" s="12">
        <v>15000.0</v>
      </c>
      <c r="K112" s="19"/>
      <c r="L112" s="13">
        <f t="shared" si="9"/>
        <v>12</v>
      </c>
      <c r="M112" s="10">
        <v>45078.0</v>
      </c>
      <c r="N112" s="14">
        <v>45078.0</v>
      </c>
      <c r="O112" s="10">
        <v>46172.0</v>
      </c>
      <c r="P112" s="10">
        <f t="shared" si="4"/>
        <v>36.46666667</v>
      </c>
      <c r="Q112" s="10">
        <v>12.0</v>
      </c>
      <c r="R112" s="10">
        <f t="shared" si="5"/>
        <v>24.46666667</v>
      </c>
      <c r="S112" s="10">
        <f t="shared" si="6"/>
        <v>0</v>
      </c>
      <c r="T112" s="10"/>
      <c r="U112" s="10">
        <f t="shared" si="10"/>
        <v>0</v>
      </c>
    </row>
    <row r="113" ht="14.25" customHeight="1">
      <c r="A113" s="1" t="s">
        <v>18</v>
      </c>
      <c r="B113" s="1">
        <v>30000.0</v>
      </c>
      <c r="C113" s="1">
        <v>100000.0</v>
      </c>
      <c r="D113" s="8">
        <v>112.0</v>
      </c>
      <c r="E113" s="9" t="s">
        <v>239</v>
      </c>
      <c r="F113" s="8" t="s">
        <v>240</v>
      </c>
      <c r="G113" s="11">
        <v>15000.0</v>
      </c>
      <c r="H113" s="10">
        <f t="shared" si="8"/>
        <v>6</v>
      </c>
      <c r="I113" s="10">
        <f t="shared" si="2"/>
        <v>6.466666667</v>
      </c>
      <c r="J113" s="12">
        <v>15000.0</v>
      </c>
      <c r="K113" s="19"/>
      <c r="L113" s="13">
        <f t="shared" si="9"/>
        <v>12</v>
      </c>
      <c r="M113" s="10">
        <v>45078.0</v>
      </c>
      <c r="N113" s="14">
        <v>45078.0</v>
      </c>
      <c r="O113" s="10">
        <v>46172.0</v>
      </c>
      <c r="P113" s="10">
        <f t="shared" si="4"/>
        <v>36.46666667</v>
      </c>
      <c r="Q113" s="10">
        <v>12.0</v>
      </c>
      <c r="R113" s="10">
        <f t="shared" si="5"/>
        <v>24.46666667</v>
      </c>
      <c r="S113" s="10">
        <f t="shared" si="6"/>
        <v>0</v>
      </c>
      <c r="T113" s="10"/>
      <c r="U113" s="10">
        <f t="shared" si="10"/>
        <v>0</v>
      </c>
    </row>
    <row r="114" ht="14.25" customHeight="1">
      <c r="A114" s="1" t="s">
        <v>18</v>
      </c>
      <c r="B114" s="1">
        <v>30000.0</v>
      </c>
      <c r="C114" s="1">
        <v>100000.0</v>
      </c>
      <c r="D114" s="8">
        <v>113.0</v>
      </c>
      <c r="E114" s="9" t="s">
        <v>241</v>
      </c>
      <c r="F114" s="8" t="s">
        <v>242</v>
      </c>
      <c r="G114" s="11">
        <v>15000.0</v>
      </c>
      <c r="H114" s="10">
        <f t="shared" si="8"/>
        <v>6</v>
      </c>
      <c r="I114" s="10">
        <f t="shared" si="2"/>
        <v>6.466666667</v>
      </c>
      <c r="J114" s="12">
        <v>15000.0</v>
      </c>
      <c r="K114" s="19"/>
      <c r="L114" s="13">
        <f t="shared" si="9"/>
        <v>12</v>
      </c>
      <c r="M114" s="10">
        <v>45078.0</v>
      </c>
      <c r="N114" s="14">
        <v>45078.0</v>
      </c>
      <c r="O114" s="10">
        <v>46172.0</v>
      </c>
      <c r="P114" s="10">
        <f t="shared" si="4"/>
        <v>36.46666667</v>
      </c>
      <c r="Q114" s="10">
        <v>12.0</v>
      </c>
      <c r="R114" s="10">
        <f t="shared" si="5"/>
        <v>24.46666667</v>
      </c>
      <c r="S114" s="10">
        <f t="shared" si="6"/>
        <v>0</v>
      </c>
      <c r="T114" s="10"/>
      <c r="U114" s="10">
        <f t="shared" si="10"/>
        <v>0</v>
      </c>
    </row>
    <row r="115" ht="14.25" customHeight="1">
      <c r="A115" s="1" t="s">
        <v>18</v>
      </c>
      <c r="B115" s="1">
        <v>30000.0</v>
      </c>
      <c r="C115" s="1">
        <v>100000.0</v>
      </c>
      <c r="D115" s="8">
        <v>114.0</v>
      </c>
      <c r="E115" s="9" t="s">
        <v>243</v>
      </c>
      <c r="F115" s="8" t="s">
        <v>244</v>
      </c>
      <c r="G115" s="11">
        <v>15000.0</v>
      </c>
      <c r="H115" s="10">
        <f t="shared" si="8"/>
        <v>6</v>
      </c>
      <c r="I115" s="10">
        <f t="shared" si="2"/>
        <v>6.466666667</v>
      </c>
      <c r="J115" s="12">
        <v>15000.0</v>
      </c>
      <c r="K115" s="19"/>
      <c r="L115" s="13">
        <f t="shared" si="9"/>
        <v>12</v>
      </c>
      <c r="M115" s="10">
        <v>45078.0</v>
      </c>
      <c r="N115" s="14">
        <v>45078.0</v>
      </c>
      <c r="O115" s="10">
        <v>46172.0</v>
      </c>
      <c r="P115" s="10">
        <f t="shared" si="4"/>
        <v>36.46666667</v>
      </c>
      <c r="Q115" s="10">
        <v>12.0</v>
      </c>
      <c r="R115" s="10">
        <f t="shared" si="5"/>
        <v>24.46666667</v>
      </c>
      <c r="S115" s="10">
        <f t="shared" si="6"/>
        <v>0</v>
      </c>
      <c r="T115" s="10"/>
      <c r="U115" s="10">
        <f t="shared" si="10"/>
        <v>0</v>
      </c>
    </row>
    <row r="116" ht="14.25" customHeight="1">
      <c r="A116" s="21" t="s">
        <v>203</v>
      </c>
      <c r="B116" s="1"/>
      <c r="C116" s="1"/>
      <c r="D116" s="8">
        <v>115.0</v>
      </c>
      <c r="E116" s="8" t="s">
        <v>245</v>
      </c>
      <c r="F116" s="10"/>
      <c r="G116" s="10"/>
      <c r="H116" s="10">
        <f t="shared" si="8"/>
        <v>0</v>
      </c>
      <c r="I116" s="10">
        <f t="shared" si="2"/>
        <v>0</v>
      </c>
      <c r="J116" s="13"/>
      <c r="K116" s="13" t="s">
        <v>205</v>
      </c>
      <c r="L116" s="13">
        <f t="shared" si="9"/>
        <v>0</v>
      </c>
      <c r="M116" s="10">
        <v>45078.0</v>
      </c>
      <c r="N116" s="14">
        <v>46172.0</v>
      </c>
      <c r="O116" s="10">
        <v>46172.0</v>
      </c>
      <c r="P116" s="10">
        <f t="shared" si="4"/>
        <v>0</v>
      </c>
      <c r="Q116" s="10"/>
      <c r="R116" s="10">
        <f t="shared" si="5"/>
        <v>0</v>
      </c>
      <c r="S116" s="10">
        <f t="shared" si="6"/>
        <v>36.46666667</v>
      </c>
      <c r="T116" s="10">
        <v>36.0</v>
      </c>
      <c r="U116" s="10">
        <f t="shared" si="10"/>
        <v>90000</v>
      </c>
    </row>
    <row r="117" ht="14.25" customHeight="1">
      <c r="A117" s="1" t="s">
        <v>18</v>
      </c>
      <c r="B117" s="1">
        <v>30000.0</v>
      </c>
      <c r="C117" s="1">
        <v>100000.0</v>
      </c>
      <c r="D117" s="8">
        <v>116.0</v>
      </c>
      <c r="E117" s="9" t="s">
        <v>246</v>
      </c>
      <c r="F117" s="8" t="s">
        <v>247</v>
      </c>
      <c r="G117" s="11">
        <v>15000.0</v>
      </c>
      <c r="H117" s="10">
        <f t="shared" si="8"/>
        <v>6</v>
      </c>
      <c r="I117" s="10">
        <f t="shared" si="2"/>
        <v>6.466666667</v>
      </c>
      <c r="J117" s="12">
        <v>15000.0</v>
      </c>
      <c r="K117" s="19"/>
      <c r="L117" s="13">
        <f t="shared" si="9"/>
        <v>12</v>
      </c>
      <c r="M117" s="10">
        <v>45078.0</v>
      </c>
      <c r="N117" s="14">
        <v>45078.0</v>
      </c>
      <c r="O117" s="10">
        <v>46172.0</v>
      </c>
      <c r="P117" s="10">
        <f t="shared" si="4"/>
        <v>36.46666667</v>
      </c>
      <c r="Q117" s="10">
        <v>12.0</v>
      </c>
      <c r="R117" s="10">
        <f t="shared" si="5"/>
        <v>24.46666667</v>
      </c>
      <c r="S117" s="10">
        <f t="shared" si="6"/>
        <v>0</v>
      </c>
      <c r="T117" s="10"/>
      <c r="U117" s="10">
        <f t="shared" si="10"/>
        <v>0</v>
      </c>
    </row>
    <row r="118" ht="14.25" customHeight="1">
      <c r="A118" s="1" t="s">
        <v>18</v>
      </c>
      <c r="B118" s="1">
        <v>30000.0</v>
      </c>
      <c r="C118" s="1">
        <v>100000.0</v>
      </c>
      <c r="D118" s="8">
        <v>117.0</v>
      </c>
      <c r="E118" s="9" t="s">
        <v>248</v>
      </c>
      <c r="F118" s="33" t="s">
        <v>249</v>
      </c>
      <c r="G118" s="17">
        <v>15000.0</v>
      </c>
      <c r="H118" s="10">
        <f t="shared" si="8"/>
        <v>6</v>
      </c>
      <c r="I118" s="10">
        <f t="shared" si="2"/>
        <v>6.466666667</v>
      </c>
      <c r="J118" s="12">
        <v>15000.0</v>
      </c>
      <c r="K118" s="13"/>
      <c r="L118" s="13">
        <f t="shared" si="9"/>
        <v>12</v>
      </c>
      <c r="M118" s="10">
        <v>45078.0</v>
      </c>
      <c r="N118" s="14">
        <v>45078.0</v>
      </c>
      <c r="O118" s="10">
        <v>46172.0</v>
      </c>
      <c r="P118" s="10">
        <f t="shared" si="4"/>
        <v>36.46666667</v>
      </c>
      <c r="Q118" s="10">
        <v>12.0</v>
      </c>
      <c r="R118" s="10">
        <f t="shared" si="5"/>
        <v>24.46666667</v>
      </c>
      <c r="S118" s="10">
        <f t="shared" si="6"/>
        <v>0</v>
      </c>
      <c r="T118" s="10"/>
      <c r="U118" s="10">
        <f t="shared" si="10"/>
        <v>0</v>
      </c>
    </row>
    <row r="119" ht="14.25" customHeight="1">
      <c r="A119" s="21" t="s">
        <v>203</v>
      </c>
      <c r="B119" s="1"/>
      <c r="C119" s="1"/>
      <c r="D119" s="8">
        <v>118.0</v>
      </c>
      <c r="E119" s="8" t="s">
        <v>250</v>
      </c>
      <c r="F119" s="10"/>
      <c r="G119" s="10"/>
      <c r="H119" s="10">
        <f t="shared" si="8"/>
        <v>0</v>
      </c>
      <c r="I119" s="10">
        <f t="shared" si="2"/>
        <v>0</v>
      </c>
      <c r="J119" s="13"/>
      <c r="K119" s="13" t="s">
        <v>205</v>
      </c>
      <c r="L119" s="13">
        <f t="shared" si="9"/>
        <v>0</v>
      </c>
      <c r="M119" s="10">
        <v>45078.0</v>
      </c>
      <c r="N119" s="14">
        <v>46172.0</v>
      </c>
      <c r="O119" s="10">
        <v>46172.0</v>
      </c>
      <c r="P119" s="10">
        <f t="shared" si="4"/>
        <v>0</v>
      </c>
      <c r="Q119" s="10"/>
      <c r="R119" s="10">
        <f t="shared" si="5"/>
        <v>0</v>
      </c>
      <c r="S119" s="10">
        <f t="shared" si="6"/>
        <v>36.46666667</v>
      </c>
      <c r="T119" s="10">
        <v>36.0</v>
      </c>
      <c r="U119" s="10">
        <f t="shared" si="10"/>
        <v>90000</v>
      </c>
    </row>
    <row r="120" ht="14.25" customHeight="1">
      <c r="A120" s="1" t="s">
        <v>18</v>
      </c>
      <c r="B120" s="1">
        <v>30000.0</v>
      </c>
      <c r="C120" s="1">
        <v>100000.0</v>
      </c>
      <c r="D120" s="8">
        <v>119.0</v>
      </c>
      <c r="E120" s="9" t="s">
        <v>251</v>
      </c>
      <c r="F120" s="10" t="s">
        <v>252</v>
      </c>
      <c r="G120" s="11">
        <v>15000.0</v>
      </c>
      <c r="H120" s="10">
        <f t="shared" si="8"/>
        <v>6</v>
      </c>
      <c r="I120" s="10">
        <f t="shared" si="2"/>
        <v>6.466666667</v>
      </c>
      <c r="J120" s="12">
        <v>15000.0</v>
      </c>
      <c r="K120" s="13"/>
      <c r="L120" s="13">
        <f t="shared" si="9"/>
        <v>12</v>
      </c>
      <c r="M120" s="10">
        <v>45078.0</v>
      </c>
      <c r="N120" s="14">
        <v>45078.0</v>
      </c>
      <c r="O120" s="10">
        <v>46172.0</v>
      </c>
      <c r="P120" s="10">
        <f t="shared" si="4"/>
        <v>36.46666667</v>
      </c>
      <c r="Q120" s="10">
        <v>12.0</v>
      </c>
      <c r="R120" s="10">
        <f t="shared" si="5"/>
        <v>24.46666667</v>
      </c>
      <c r="S120" s="10">
        <f t="shared" si="6"/>
        <v>0</v>
      </c>
      <c r="T120" s="10"/>
      <c r="U120" s="10">
        <f t="shared" si="10"/>
        <v>0</v>
      </c>
    </row>
    <row r="121" ht="14.25" customHeight="1">
      <c r="A121" s="1" t="s">
        <v>18</v>
      </c>
      <c r="B121" s="1">
        <v>30000.0</v>
      </c>
      <c r="C121" s="1">
        <v>100000.0</v>
      </c>
      <c r="D121" s="8">
        <v>120.0</v>
      </c>
      <c r="E121" s="9" t="s">
        <v>253</v>
      </c>
      <c r="F121" s="10" t="s">
        <v>254</v>
      </c>
      <c r="G121" s="11">
        <v>15000.0</v>
      </c>
      <c r="H121" s="10">
        <f t="shared" si="8"/>
        <v>6</v>
      </c>
      <c r="I121" s="10">
        <f t="shared" si="2"/>
        <v>6.466666667</v>
      </c>
      <c r="J121" s="12">
        <v>15000.0</v>
      </c>
      <c r="K121" s="13"/>
      <c r="L121" s="13">
        <f t="shared" si="9"/>
        <v>12</v>
      </c>
      <c r="M121" s="10">
        <v>45078.0</v>
      </c>
      <c r="N121" s="14">
        <v>45078.0</v>
      </c>
      <c r="O121" s="10">
        <v>46172.0</v>
      </c>
      <c r="P121" s="10">
        <f t="shared" si="4"/>
        <v>36.46666667</v>
      </c>
      <c r="Q121" s="10">
        <v>12.0</v>
      </c>
      <c r="R121" s="10">
        <f t="shared" si="5"/>
        <v>24.46666667</v>
      </c>
      <c r="S121" s="10">
        <f t="shared" si="6"/>
        <v>0</v>
      </c>
      <c r="T121" s="10"/>
      <c r="U121" s="10">
        <f t="shared" si="10"/>
        <v>0</v>
      </c>
    </row>
    <row r="122" ht="14.25" customHeight="1">
      <c r="A122" s="1" t="s">
        <v>18</v>
      </c>
      <c r="B122" s="1">
        <v>30000.0</v>
      </c>
      <c r="C122" s="1">
        <v>100000.0</v>
      </c>
      <c r="D122" s="8">
        <v>121.0</v>
      </c>
      <c r="E122" s="9" t="s">
        <v>255</v>
      </c>
      <c r="F122" s="8" t="s">
        <v>256</v>
      </c>
      <c r="G122" s="11">
        <v>15000.0</v>
      </c>
      <c r="H122" s="10">
        <f t="shared" si="8"/>
        <v>6</v>
      </c>
      <c r="I122" s="10">
        <f t="shared" si="2"/>
        <v>6.466666667</v>
      </c>
      <c r="J122" s="12">
        <v>15000.0</v>
      </c>
      <c r="K122" s="19"/>
      <c r="L122" s="13">
        <f t="shared" si="9"/>
        <v>12</v>
      </c>
      <c r="M122" s="10">
        <v>45078.0</v>
      </c>
      <c r="N122" s="14">
        <v>45078.0</v>
      </c>
      <c r="O122" s="10">
        <v>46172.0</v>
      </c>
      <c r="P122" s="10">
        <f t="shared" si="4"/>
        <v>36.46666667</v>
      </c>
      <c r="Q122" s="10">
        <v>12.0</v>
      </c>
      <c r="R122" s="10">
        <f t="shared" si="5"/>
        <v>24.46666667</v>
      </c>
      <c r="S122" s="10">
        <f t="shared" si="6"/>
        <v>0</v>
      </c>
      <c r="T122" s="10"/>
      <c r="U122" s="10">
        <f t="shared" si="10"/>
        <v>0</v>
      </c>
    </row>
    <row r="123" ht="14.25" customHeight="1">
      <c r="A123" s="1" t="s">
        <v>18</v>
      </c>
      <c r="B123" s="1">
        <v>30000.0</v>
      </c>
      <c r="C123" s="1">
        <v>100000.0</v>
      </c>
      <c r="D123" s="8">
        <v>122.0</v>
      </c>
      <c r="E123" s="9" t="s">
        <v>257</v>
      </c>
      <c r="F123" s="8" t="s">
        <v>258</v>
      </c>
      <c r="G123" s="11">
        <v>15000.0</v>
      </c>
      <c r="H123" s="10">
        <f t="shared" si="8"/>
        <v>6</v>
      </c>
      <c r="I123" s="10">
        <f t="shared" si="2"/>
        <v>6.466666667</v>
      </c>
      <c r="J123" s="12">
        <v>15000.0</v>
      </c>
      <c r="K123" s="19"/>
      <c r="L123" s="13">
        <f t="shared" si="9"/>
        <v>12</v>
      </c>
      <c r="M123" s="10">
        <v>45078.0</v>
      </c>
      <c r="N123" s="14">
        <v>45078.0</v>
      </c>
      <c r="O123" s="10">
        <v>46172.0</v>
      </c>
      <c r="P123" s="10">
        <f t="shared" si="4"/>
        <v>36.46666667</v>
      </c>
      <c r="Q123" s="10">
        <v>12.0</v>
      </c>
      <c r="R123" s="10">
        <f t="shared" si="5"/>
        <v>24.46666667</v>
      </c>
      <c r="S123" s="10">
        <f t="shared" si="6"/>
        <v>0</v>
      </c>
      <c r="T123" s="10"/>
      <c r="U123" s="10">
        <f t="shared" si="10"/>
        <v>0</v>
      </c>
    </row>
    <row r="124" ht="14.25" customHeight="1">
      <c r="A124" s="1" t="s">
        <v>18</v>
      </c>
      <c r="B124" s="1">
        <v>30000.0</v>
      </c>
      <c r="C124" s="1">
        <v>100000.0</v>
      </c>
      <c r="D124" s="8">
        <v>123.0</v>
      </c>
      <c r="E124" s="9" t="s">
        <v>259</v>
      </c>
      <c r="F124" s="8" t="s">
        <v>260</v>
      </c>
      <c r="G124" s="11">
        <v>15000.0</v>
      </c>
      <c r="H124" s="10">
        <f t="shared" si="8"/>
        <v>6</v>
      </c>
      <c r="I124" s="10">
        <f t="shared" si="2"/>
        <v>6.466666667</v>
      </c>
      <c r="J124" s="12">
        <v>15000.0</v>
      </c>
      <c r="K124" s="19"/>
      <c r="L124" s="13">
        <f t="shared" si="9"/>
        <v>12</v>
      </c>
      <c r="M124" s="10">
        <v>45078.0</v>
      </c>
      <c r="N124" s="14">
        <v>45078.0</v>
      </c>
      <c r="O124" s="10">
        <v>46172.0</v>
      </c>
      <c r="P124" s="10">
        <f t="shared" si="4"/>
        <v>36.46666667</v>
      </c>
      <c r="Q124" s="10">
        <v>12.0</v>
      </c>
      <c r="R124" s="10">
        <f t="shared" si="5"/>
        <v>24.46666667</v>
      </c>
      <c r="S124" s="10">
        <f t="shared" si="6"/>
        <v>0</v>
      </c>
      <c r="T124" s="10"/>
      <c r="U124" s="10">
        <f t="shared" si="10"/>
        <v>0</v>
      </c>
    </row>
    <row r="125" ht="14.25" customHeight="1">
      <c r="A125" s="1" t="s">
        <v>18</v>
      </c>
      <c r="B125" s="16">
        <v>30000.0</v>
      </c>
      <c r="C125" s="16">
        <v>100000.0</v>
      </c>
      <c r="D125" s="8">
        <v>124.0</v>
      </c>
      <c r="E125" s="9" t="s">
        <v>261</v>
      </c>
      <c r="F125" s="8" t="s">
        <v>262</v>
      </c>
      <c r="G125" s="11">
        <v>15000.0</v>
      </c>
      <c r="H125" s="10">
        <f t="shared" si="8"/>
        <v>6</v>
      </c>
      <c r="I125" s="10">
        <f t="shared" si="2"/>
        <v>6.466666667</v>
      </c>
      <c r="J125" s="12">
        <v>15000.0</v>
      </c>
      <c r="K125" s="19"/>
      <c r="L125" s="13">
        <f t="shared" si="9"/>
        <v>12</v>
      </c>
      <c r="M125" s="10">
        <v>45078.0</v>
      </c>
      <c r="N125" s="14">
        <v>45078.0</v>
      </c>
      <c r="O125" s="10">
        <v>46172.0</v>
      </c>
      <c r="P125" s="10">
        <f t="shared" si="4"/>
        <v>36.46666667</v>
      </c>
      <c r="Q125" s="10">
        <v>12.0</v>
      </c>
      <c r="R125" s="10">
        <f t="shared" si="5"/>
        <v>24.46666667</v>
      </c>
      <c r="S125" s="10">
        <f t="shared" si="6"/>
        <v>0</v>
      </c>
      <c r="T125" s="10"/>
      <c r="U125" s="10">
        <f t="shared" si="10"/>
        <v>0</v>
      </c>
    </row>
    <row r="126" ht="14.25" customHeight="1">
      <c r="A126" s="1" t="s">
        <v>18</v>
      </c>
      <c r="B126" s="16">
        <v>30000.0</v>
      </c>
      <c r="C126" s="16">
        <v>100000.0</v>
      </c>
      <c r="D126" s="8">
        <v>125.0</v>
      </c>
      <c r="E126" s="9" t="s">
        <v>263</v>
      </c>
      <c r="F126" s="8" t="s">
        <v>264</v>
      </c>
      <c r="G126" s="11">
        <v>15000.0</v>
      </c>
      <c r="H126" s="10">
        <f t="shared" si="8"/>
        <v>6</v>
      </c>
      <c r="I126" s="10">
        <f t="shared" si="2"/>
        <v>6.466666667</v>
      </c>
      <c r="J126" s="12">
        <v>15000.0</v>
      </c>
      <c r="K126" s="19"/>
      <c r="L126" s="13">
        <f t="shared" si="9"/>
        <v>12</v>
      </c>
      <c r="M126" s="10">
        <v>45078.0</v>
      </c>
      <c r="N126" s="14">
        <v>45078.0</v>
      </c>
      <c r="O126" s="10">
        <v>46172.0</v>
      </c>
      <c r="P126" s="10">
        <f t="shared" si="4"/>
        <v>36.46666667</v>
      </c>
      <c r="Q126" s="10">
        <v>12.0</v>
      </c>
      <c r="R126" s="10">
        <f t="shared" si="5"/>
        <v>24.46666667</v>
      </c>
      <c r="S126" s="10">
        <f t="shared" si="6"/>
        <v>0</v>
      </c>
      <c r="T126" s="10"/>
      <c r="U126" s="10">
        <f t="shared" si="10"/>
        <v>0</v>
      </c>
    </row>
    <row r="127" ht="14.25" customHeight="1">
      <c r="A127" s="21"/>
      <c r="B127" s="1"/>
      <c r="C127" s="1"/>
      <c r="D127" s="8">
        <v>126.0</v>
      </c>
      <c r="E127" s="8" t="s">
        <v>265</v>
      </c>
      <c r="F127" s="10"/>
      <c r="G127" s="10"/>
      <c r="H127" s="10">
        <f t="shared" si="8"/>
        <v>0</v>
      </c>
      <c r="I127" s="10">
        <f t="shared" si="2"/>
        <v>0</v>
      </c>
      <c r="J127" s="13"/>
      <c r="K127" s="13"/>
      <c r="L127" s="13">
        <f t="shared" si="9"/>
        <v>0</v>
      </c>
      <c r="M127" s="10">
        <v>45078.0</v>
      </c>
      <c r="N127" s="14">
        <v>46172.0</v>
      </c>
      <c r="O127" s="10">
        <v>46172.0</v>
      </c>
      <c r="P127" s="10">
        <f t="shared" si="4"/>
        <v>0</v>
      </c>
      <c r="Q127" s="10">
        <v>0.0</v>
      </c>
      <c r="R127" s="10">
        <f t="shared" si="5"/>
        <v>0</v>
      </c>
      <c r="S127" s="10">
        <f t="shared" si="6"/>
        <v>36.46666667</v>
      </c>
      <c r="T127" s="10">
        <v>36.0</v>
      </c>
      <c r="U127" s="10">
        <f t="shared" si="10"/>
        <v>90000</v>
      </c>
    </row>
    <row r="128" ht="14.25" customHeight="1">
      <c r="A128" s="21" t="s">
        <v>116</v>
      </c>
      <c r="B128" s="1"/>
      <c r="C128" s="1">
        <v>100000.0</v>
      </c>
      <c r="D128" s="8">
        <v>127.0</v>
      </c>
      <c r="E128" s="27" t="s">
        <v>266</v>
      </c>
      <c r="F128" s="34" t="s">
        <v>267</v>
      </c>
      <c r="G128" s="15">
        <v>30000.0</v>
      </c>
      <c r="H128" s="10">
        <f t="shared" si="8"/>
        <v>12</v>
      </c>
      <c r="I128" s="10">
        <f t="shared" si="2"/>
        <v>0.1</v>
      </c>
      <c r="J128" s="8"/>
      <c r="K128" s="8" t="s">
        <v>268</v>
      </c>
      <c r="L128" s="10">
        <f t="shared" si="9"/>
        <v>0</v>
      </c>
      <c r="M128" s="10">
        <v>45078.0</v>
      </c>
      <c r="N128" s="34">
        <v>45809.0</v>
      </c>
      <c r="O128" s="13">
        <v>46172.0</v>
      </c>
      <c r="P128" s="10">
        <f t="shared" si="4"/>
        <v>12.1</v>
      </c>
      <c r="Q128" s="8">
        <v>0.0</v>
      </c>
      <c r="R128" s="10">
        <f t="shared" si="5"/>
        <v>12.1</v>
      </c>
      <c r="S128" s="10">
        <f t="shared" si="6"/>
        <v>24.36666667</v>
      </c>
      <c r="T128" s="10">
        <v>24.0</v>
      </c>
      <c r="U128" s="10">
        <f t="shared" si="10"/>
        <v>60000</v>
      </c>
    </row>
    <row r="129" ht="14.25" customHeight="1">
      <c r="A129" s="1" t="s">
        <v>18</v>
      </c>
      <c r="B129" s="1">
        <v>30000.0</v>
      </c>
      <c r="C129" s="1">
        <v>100000.0</v>
      </c>
      <c r="D129" s="8">
        <v>128.0</v>
      </c>
      <c r="E129" s="9" t="s">
        <v>269</v>
      </c>
      <c r="F129" s="8" t="s">
        <v>270</v>
      </c>
      <c r="G129" s="11">
        <v>15000.0</v>
      </c>
      <c r="H129" s="10">
        <f t="shared" si="8"/>
        <v>6</v>
      </c>
      <c r="I129" s="10">
        <f t="shared" si="2"/>
        <v>6.466666667</v>
      </c>
      <c r="J129" s="12">
        <v>15000.0</v>
      </c>
      <c r="K129" s="19"/>
      <c r="L129" s="13">
        <f t="shared" si="9"/>
        <v>12</v>
      </c>
      <c r="M129" s="10">
        <v>45078.0</v>
      </c>
      <c r="N129" s="14">
        <v>45078.0</v>
      </c>
      <c r="O129" s="10">
        <v>46172.0</v>
      </c>
      <c r="P129" s="10">
        <f t="shared" si="4"/>
        <v>36.46666667</v>
      </c>
      <c r="Q129" s="10">
        <v>12.0</v>
      </c>
      <c r="R129" s="10">
        <f t="shared" si="5"/>
        <v>24.46666667</v>
      </c>
      <c r="S129" s="10">
        <f t="shared" si="6"/>
        <v>0</v>
      </c>
      <c r="T129" s="10"/>
      <c r="U129" s="10">
        <f t="shared" si="10"/>
        <v>0</v>
      </c>
    </row>
    <row r="130" ht="14.25" customHeight="1">
      <c r="A130" s="1" t="s">
        <v>18</v>
      </c>
      <c r="B130" s="1">
        <v>30000.0</v>
      </c>
      <c r="C130" s="1">
        <v>100000.0</v>
      </c>
      <c r="D130" s="8">
        <v>129.0</v>
      </c>
      <c r="E130" s="9" t="s">
        <v>271</v>
      </c>
      <c r="F130" s="8" t="s">
        <v>272</v>
      </c>
      <c r="G130" s="11">
        <v>15000.0</v>
      </c>
      <c r="H130" s="10">
        <f t="shared" si="8"/>
        <v>6</v>
      </c>
      <c r="I130" s="10">
        <f t="shared" si="2"/>
        <v>6.466666667</v>
      </c>
      <c r="J130" s="12">
        <v>15000.0</v>
      </c>
      <c r="K130" s="19"/>
      <c r="L130" s="13">
        <f t="shared" si="9"/>
        <v>12</v>
      </c>
      <c r="M130" s="10">
        <v>45078.0</v>
      </c>
      <c r="N130" s="14">
        <v>45078.0</v>
      </c>
      <c r="O130" s="10">
        <v>46172.0</v>
      </c>
      <c r="P130" s="10">
        <f t="shared" si="4"/>
        <v>36.46666667</v>
      </c>
      <c r="Q130" s="10">
        <v>12.0</v>
      </c>
      <c r="R130" s="10">
        <f t="shared" si="5"/>
        <v>24.46666667</v>
      </c>
      <c r="S130" s="10">
        <f t="shared" si="6"/>
        <v>0</v>
      </c>
      <c r="T130" s="10"/>
      <c r="U130" s="10">
        <f t="shared" si="10"/>
        <v>0</v>
      </c>
    </row>
    <row r="131" ht="14.25" customHeight="1">
      <c r="A131" s="1" t="s">
        <v>18</v>
      </c>
      <c r="B131" s="1">
        <v>30000.0</v>
      </c>
      <c r="C131" s="1">
        <v>100000.0</v>
      </c>
      <c r="D131" s="8">
        <v>130.0</v>
      </c>
      <c r="E131" s="9" t="s">
        <v>273</v>
      </c>
      <c r="F131" s="8" t="s">
        <v>274</v>
      </c>
      <c r="G131" s="11">
        <v>15000.0</v>
      </c>
      <c r="H131" s="10">
        <f t="shared" si="8"/>
        <v>6</v>
      </c>
      <c r="I131" s="10">
        <f t="shared" si="2"/>
        <v>6.466666667</v>
      </c>
      <c r="J131" s="12">
        <v>15000.0</v>
      </c>
      <c r="K131" s="19"/>
      <c r="L131" s="13">
        <f t="shared" si="9"/>
        <v>12</v>
      </c>
      <c r="M131" s="10">
        <v>45078.0</v>
      </c>
      <c r="N131" s="14">
        <v>45078.0</v>
      </c>
      <c r="O131" s="10">
        <v>46172.0</v>
      </c>
      <c r="P131" s="10">
        <f t="shared" si="4"/>
        <v>36.46666667</v>
      </c>
      <c r="Q131" s="10">
        <v>12.0</v>
      </c>
      <c r="R131" s="10">
        <f t="shared" si="5"/>
        <v>24.46666667</v>
      </c>
      <c r="S131" s="10">
        <f t="shared" si="6"/>
        <v>0</v>
      </c>
      <c r="T131" s="10"/>
      <c r="U131" s="10">
        <f t="shared" si="10"/>
        <v>0</v>
      </c>
    </row>
    <row r="132" ht="14.25" customHeight="1">
      <c r="A132" s="1" t="s">
        <v>18</v>
      </c>
      <c r="B132" s="1">
        <v>30000.0</v>
      </c>
      <c r="C132" s="1">
        <v>100000.0</v>
      </c>
      <c r="D132" s="8">
        <v>131.0</v>
      </c>
      <c r="E132" s="9" t="s">
        <v>275</v>
      </c>
      <c r="F132" s="8" t="s">
        <v>276</v>
      </c>
      <c r="G132" s="11">
        <v>15000.0</v>
      </c>
      <c r="H132" s="10">
        <f t="shared" si="8"/>
        <v>6</v>
      </c>
      <c r="I132" s="10">
        <f t="shared" si="2"/>
        <v>6.466666667</v>
      </c>
      <c r="J132" s="12">
        <v>15000.0</v>
      </c>
      <c r="K132" s="19"/>
      <c r="L132" s="13">
        <f t="shared" si="9"/>
        <v>12</v>
      </c>
      <c r="M132" s="10">
        <v>45078.0</v>
      </c>
      <c r="N132" s="14">
        <v>45078.0</v>
      </c>
      <c r="O132" s="10">
        <v>46172.0</v>
      </c>
      <c r="P132" s="10">
        <f t="shared" si="4"/>
        <v>36.46666667</v>
      </c>
      <c r="Q132" s="10">
        <v>12.0</v>
      </c>
      <c r="R132" s="10">
        <f t="shared" si="5"/>
        <v>24.46666667</v>
      </c>
      <c r="S132" s="10">
        <f t="shared" si="6"/>
        <v>0</v>
      </c>
      <c r="T132" s="10"/>
      <c r="U132" s="10">
        <f t="shared" si="10"/>
        <v>0</v>
      </c>
    </row>
    <row r="133" ht="14.25" customHeight="1">
      <c r="A133" s="1" t="s">
        <v>18</v>
      </c>
      <c r="B133" s="1">
        <v>30000.0</v>
      </c>
      <c r="C133" s="1">
        <v>100000.0</v>
      </c>
      <c r="D133" s="8">
        <v>132.0</v>
      </c>
      <c r="E133" s="9" t="s">
        <v>277</v>
      </c>
      <c r="F133" s="10" t="s">
        <v>278</v>
      </c>
      <c r="G133" s="10"/>
      <c r="H133" s="10">
        <f t="shared" si="8"/>
        <v>0</v>
      </c>
      <c r="I133" s="10">
        <f t="shared" si="2"/>
        <v>12.46666667</v>
      </c>
      <c r="J133" s="13"/>
      <c r="K133" s="13"/>
      <c r="L133" s="13">
        <f t="shared" si="9"/>
        <v>12</v>
      </c>
      <c r="M133" s="10">
        <v>45078.0</v>
      </c>
      <c r="N133" s="14">
        <v>45078.0</v>
      </c>
      <c r="O133" s="10">
        <v>46172.0</v>
      </c>
      <c r="P133" s="10">
        <f t="shared" si="4"/>
        <v>36.46666667</v>
      </c>
      <c r="Q133" s="10">
        <v>12.0</v>
      </c>
      <c r="R133" s="10">
        <f t="shared" si="5"/>
        <v>24.46666667</v>
      </c>
      <c r="S133" s="10">
        <f t="shared" si="6"/>
        <v>0</v>
      </c>
      <c r="T133" s="10"/>
      <c r="U133" s="10">
        <f t="shared" si="10"/>
        <v>0</v>
      </c>
    </row>
    <row r="134" ht="14.25" customHeight="1">
      <c r="A134" s="21" t="s">
        <v>122</v>
      </c>
      <c r="B134" s="1"/>
      <c r="C134" s="1"/>
      <c r="D134" s="8">
        <v>133.0</v>
      </c>
      <c r="E134" s="8" t="s">
        <v>279</v>
      </c>
      <c r="F134" s="10"/>
      <c r="G134" s="10"/>
      <c r="H134" s="10">
        <f t="shared" si="8"/>
        <v>0</v>
      </c>
      <c r="I134" s="10">
        <f t="shared" si="2"/>
        <v>0</v>
      </c>
      <c r="J134" s="13"/>
      <c r="K134" s="13"/>
      <c r="L134" s="13">
        <f t="shared" si="9"/>
        <v>0</v>
      </c>
      <c r="M134" s="10">
        <v>45078.0</v>
      </c>
      <c r="N134" s="14">
        <v>46172.0</v>
      </c>
      <c r="O134" s="10">
        <v>46172.0</v>
      </c>
      <c r="P134" s="10">
        <f t="shared" si="4"/>
        <v>0</v>
      </c>
      <c r="Q134" s="10">
        <v>0.0</v>
      </c>
      <c r="R134" s="10">
        <f t="shared" si="5"/>
        <v>0</v>
      </c>
      <c r="S134" s="10">
        <f t="shared" si="6"/>
        <v>36.46666667</v>
      </c>
      <c r="T134" s="10">
        <v>36.0</v>
      </c>
      <c r="U134" s="10">
        <f t="shared" si="10"/>
        <v>90000</v>
      </c>
    </row>
    <row r="135" ht="14.25" customHeight="1">
      <c r="A135" s="1" t="s">
        <v>18</v>
      </c>
      <c r="B135" s="1">
        <v>30000.0</v>
      </c>
      <c r="C135" s="1">
        <v>100000.0</v>
      </c>
      <c r="D135" s="8">
        <v>134.0</v>
      </c>
      <c r="E135" s="9" t="s">
        <v>280</v>
      </c>
      <c r="F135" s="8" t="s">
        <v>281</v>
      </c>
      <c r="G135" s="11">
        <v>15000.0</v>
      </c>
      <c r="H135" s="10">
        <f t="shared" si="8"/>
        <v>6</v>
      </c>
      <c r="I135" s="10">
        <f t="shared" si="2"/>
        <v>6.466666667</v>
      </c>
      <c r="J135" s="12">
        <v>15000.0</v>
      </c>
      <c r="K135" s="19"/>
      <c r="L135" s="13">
        <f t="shared" si="9"/>
        <v>12</v>
      </c>
      <c r="M135" s="10">
        <v>45078.0</v>
      </c>
      <c r="N135" s="14">
        <v>45078.0</v>
      </c>
      <c r="O135" s="10">
        <v>46172.0</v>
      </c>
      <c r="P135" s="10">
        <f t="shared" si="4"/>
        <v>36.46666667</v>
      </c>
      <c r="Q135" s="10">
        <v>12.0</v>
      </c>
      <c r="R135" s="10">
        <f t="shared" si="5"/>
        <v>24.46666667</v>
      </c>
      <c r="S135" s="10">
        <f t="shared" si="6"/>
        <v>0</v>
      </c>
      <c r="T135" s="10"/>
      <c r="U135" s="10">
        <f t="shared" si="10"/>
        <v>0</v>
      </c>
    </row>
    <row r="136" ht="14.25" customHeight="1">
      <c r="A136" s="1" t="s">
        <v>18</v>
      </c>
      <c r="B136" s="1">
        <v>30000.0</v>
      </c>
      <c r="C136" s="1">
        <v>100000.0</v>
      </c>
      <c r="D136" s="8">
        <v>135.0</v>
      </c>
      <c r="E136" s="9" t="s">
        <v>282</v>
      </c>
      <c r="F136" s="10" t="s">
        <v>281</v>
      </c>
      <c r="G136" s="15">
        <v>15000.0</v>
      </c>
      <c r="H136" s="10">
        <f t="shared" si="8"/>
        <v>6</v>
      </c>
      <c r="I136" s="10">
        <f t="shared" si="2"/>
        <v>6.466666667</v>
      </c>
      <c r="J136" s="12">
        <v>15000.0</v>
      </c>
      <c r="K136" s="19"/>
      <c r="L136" s="13">
        <f t="shared" si="9"/>
        <v>12</v>
      </c>
      <c r="M136" s="10">
        <v>45078.0</v>
      </c>
      <c r="N136" s="14">
        <v>45078.0</v>
      </c>
      <c r="O136" s="10">
        <v>46172.0</v>
      </c>
      <c r="P136" s="10">
        <f t="shared" si="4"/>
        <v>36.46666667</v>
      </c>
      <c r="Q136" s="10">
        <v>12.0</v>
      </c>
      <c r="R136" s="10">
        <f t="shared" si="5"/>
        <v>24.46666667</v>
      </c>
      <c r="S136" s="10">
        <f t="shared" si="6"/>
        <v>0</v>
      </c>
      <c r="T136" s="10"/>
      <c r="U136" s="10">
        <f t="shared" si="10"/>
        <v>0</v>
      </c>
    </row>
    <row r="137" ht="14.25" customHeight="1">
      <c r="A137" s="21" t="s">
        <v>107</v>
      </c>
      <c r="B137" s="1">
        <v>30000.0</v>
      </c>
      <c r="C137" s="1">
        <v>100000.0</v>
      </c>
      <c r="D137" s="8">
        <v>136.0</v>
      </c>
      <c r="E137" s="22" t="s">
        <v>283</v>
      </c>
      <c r="F137" s="8" t="s">
        <v>284</v>
      </c>
      <c r="G137" s="11">
        <v>15000.0</v>
      </c>
      <c r="H137" s="10">
        <f t="shared" si="8"/>
        <v>6</v>
      </c>
      <c r="I137" s="10">
        <f t="shared" si="2"/>
        <v>4.433333333</v>
      </c>
      <c r="J137" s="12">
        <v>10000.0</v>
      </c>
      <c r="K137" s="19"/>
      <c r="L137" s="13">
        <f t="shared" si="9"/>
        <v>12</v>
      </c>
      <c r="M137" s="10">
        <v>45078.0</v>
      </c>
      <c r="N137" s="14">
        <v>45139.0</v>
      </c>
      <c r="O137" s="10">
        <v>46172.0</v>
      </c>
      <c r="P137" s="10">
        <f t="shared" si="4"/>
        <v>34.43333333</v>
      </c>
      <c r="Q137" s="8">
        <v>12.0</v>
      </c>
      <c r="R137" s="10">
        <f t="shared" si="5"/>
        <v>22.43333333</v>
      </c>
      <c r="S137" s="10">
        <f t="shared" si="6"/>
        <v>2.033333333</v>
      </c>
      <c r="T137" s="10">
        <v>2.0</v>
      </c>
      <c r="U137" s="10">
        <f t="shared" si="10"/>
        <v>5000</v>
      </c>
    </row>
    <row r="138" ht="14.25" customHeight="1">
      <c r="A138" s="1" t="s">
        <v>18</v>
      </c>
      <c r="B138" s="1">
        <v>30000.0</v>
      </c>
      <c r="C138" s="1">
        <v>100000.0</v>
      </c>
      <c r="D138" s="8">
        <v>137.0</v>
      </c>
      <c r="E138" s="9" t="s">
        <v>285</v>
      </c>
      <c r="F138" s="8" t="s">
        <v>286</v>
      </c>
      <c r="G138" s="11">
        <v>15000.0</v>
      </c>
      <c r="H138" s="10">
        <f t="shared" si="8"/>
        <v>6</v>
      </c>
      <c r="I138" s="10">
        <f t="shared" si="2"/>
        <v>6.466666667</v>
      </c>
      <c r="J138" s="12">
        <v>15000.0</v>
      </c>
      <c r="K138" s="19"/>
      <c r="L138" s="13">
        <f t="shared" si="9"/>
        <v>12</v>
      </c>
      <c r="M138" s="10">
        <v>45078.0</v>
      </c>
      <c r="N138" s="14">
        <v>45078.0</v>
      </c>
      <c r="O138" s="10">
        <v>46172.0</v>
      </c>
      <c r="P138" s="10">
        <f t="shared" si="4"/>
        <v>36.46666667</v>
      </c>
      <c r="Q138" s="10">
        <v>12.0</v>
      </c>
      <c r="R138" s="10">
        <f t="shared" si="5"/>
        <v>24.46666667</v>
      </c>
      <c r="S138" s="10">
        <f t="shared" si="6"/>
        <v>0</v>
      </c>
      <c r="T138" s="10"/>
      <c r="U138" s="10">
        <f t="shared" si="10"/>
        <v>0</v>
      </c>
    </row>
    <row r="139" ht="14.25" customHeight="1">
      <c r="A139" s="1" t="s">
        <v>18</v>
      </c>
      <c r="B139" s="1">
        <v>30000.0</v>
      </c>
      <c r="C139" s="1">
        <v>100000.0</v>
      </c>
      <c r="D139" s="8">
        <v>138.0</v>
      </c>
      <c r="E139" s="9" t="s">
        <v>287</v>
      </c>
      <c r="F139" s="8" t="s">
        <v>288</v>
      </c>
      <c r="G139" s="11">
        <v>30000.0</v>
      </c>
      <c r="H139" s="10">
        <f t="shared" si="8"/>
        <v>12</v>
      </c>
      <c r="I139" s="10">
        <f t="shared" si="2"/>
        <v>0.4666666667</v>
      </c>
      <c r="J139" s="19"/>
      <c r="K139" s="19"/>
      <c r="L139" s="13">
        <f t="shared" si="9"/>
        <v>12</v>
      </c>
      <c r="M139" s="10">
        <v>45078.0</v>
      </c>
      <c r="N139" s="14">
        <v>45078.0</v>
      </c>
      <c r="O139" s="10">
        <v>46172.0</v>
      </c>
      <c r="P139" s="10">
        <f t="shared" si="4"/>
        <v>36.46666667</v>
      </c>
      <c r="Q139" s="10">
        <v>12.0</v>
      </c>
      <c r="R139" s="10">
        <f t="shared" si="5"/>
        <v>24.46666667</v>
      </c>
      <c r="S139" s="10">
        <f t="shared" si="6"/>
        <v>0</v>
      </c>
      <c r="T139" s="10"/>
      <c r="U139" s="10">
        <f t="shared" si="10"/>
        <v>0</v>
      </c>
    </row>
    <row r="140" ht="14.25" customHeight="1">
      <c r="A140" s="1" t="s">
        <v>18</v>
      </c>
      <c r="B140" s="1">
        <v>30000.0</v>
      </c>
      <c r="C140" s="1">
        <v>100000.0</v>
      </c>
      <c r="D140" s="8">
        <v>139.0</v>
      </c>
      <c r="E140" s="9" t="s">
        <v>289</v>
      </c>
      <c r="F140" s="8" t="s">
        <v>290</v>
      </c>
      <c r="G140" s="11">
        <v>15000.0</v>
      </c>
      <c r="H140" s="10">
        <f t="shared" si="8"/>
        <v>6</v>
      </c>
      <c r="I140" s="10">
        <f t="shared" si="2"/>
        <v>6.466666667</v>
      </c>
      <c r="J140" s="12">
        <v>15000.0</v>
      </c>
      <c r="K140" s="19"/>
      <c r="L140" s="13">
        <f t="shared" si="9"/>
        <v>12</v>
      </c>
      <c r="M140" s="10">
        <v>45078.0</v>
      </c>
      <c r="N140" s="14">
        <v>45078.0</v>
      </c>
      <c r="O140" s="10">
        <v>46172.0</v>
      </c>
      <c r="P140" s="10">
        <f t="shared" si="4"/>
        <v>36.46666667</v>
      </c>
      <c r="Q140" s="10">
        <v>12.0</v>
      </c>
      <c r="R140" s="10">
        <f t="shared" si="5"/>
        <v>24.46666667</v>
      </c>
      <c r="S140" s="10">
        <f t="shared" si="6"/>
        <v>0</v>
      </c>
      <c r="T140" s="10"/>
      <c r="U140" s="10">
        <f t="shared" si="10"/>
        <v>0</v>
      </c>
    </row>
    <row r="141" ht="14.25" customHeight="1">
      <c r="A141" s="1" t="s">
        <v>18</v>
      </c>
      <c r="B141" s="1">
        <v>30000.0</v>
      </c>
      <c r="C141" s="1">
        <v>100000.0</v>
      </c>
      <c r="D141" s="8">
        <v>140.0</v>
      </c>
      <c r="E141" s="9" t="s">
        <v>291</v>
      </c>
      <c r="F141" s="10" t="s">
        <v>292</v>
      </c>
      <c r="G141" s="15">
        <v>15000.0</v>
      </c>
      <c r="H141" s="10">
        <f t="shared" si="8"/>
        <v>6</v>
      </c>
      <c r="I141" s="10">
        <f t="shared" si="2"/>
        <v>6.466666667</v>
      </c>
      <c r="J141" s="12">
        <v>15000.0</v>
      </c>
      <c r="K141" s="13"/>
      <c r="L141" s="13">
        <f t="shared" si="9"/>
        <v>12</v>
      </c>
      <c r="M141" s="10">
        <v>45078.0</v>
      </c>
      <c r="N141" s="14">
        <v>45078.0</v>
      </c>
      <c r="O141" s="10">
        <v>46172.0</v>
      </c>
      <c r="P141" s="10">
        <f t="shared" si="4"/>
        <v>36.46666667</v>
      </c>
      <c r="Q141" s="10">
        <v>12.0</v>
      </c>
      <c r="R141" s="10">
        <f t="shared" si="5"/>
        <v>24.46666667</v>
      </c>
      <c r="S141" s="10">
        <f t="shared" si="6"/>
        <v>0</v>
      </c>
      <c r="T141" s="10"/>
      <c r="U141" s="10">
        <f t="shared" si="10"/>
        <v>0</v>
      </c>
    </row>
    <row r="142" ht="14.25" customHeight="1">
      <c r="A142" s="1" t="s">
        <v>18</v>
      </c>
      <c r="B142" s="1">
        <v>30000.0</v>
      </c>
      <c r="C142" s="1">
        <v>100000.0</v>
      </c>
      <c r="D142" s="8">
        <v>141.0</v>
      </c>
      <c r="E142" s="9" t="s">
        <v>293</v>
      </c>
      <c r="F142" s="10" t="s">
        <v>294</v>
      </c>
      <c r="G142" s="15">
        <v>15000.0</v>
      </c>
      <c r="H142" s="10">
        <f t="shared" si="8"/>
        <v>6</v>
      </c>
      <c r="I142" s="10">
        <f t="shared" si="2"/>
        <v>6.466666667</v>
      </c>
      <c r="J142" s="12">
        <v>15000.0</v>
      </c>
      <c r="K142" s="13"/>
      <c r="L142" s="13">
        <f t="shared" si="9"/>
        <v>12</v>
      </c>
      <c r="M142" s="10">
        <v>45078.0</v>
      </c>
      <c r="N142" s="14">
        <v>45078.0</v>
      </c>
      <c r="O142" s="10">
        <v>46172.0</v>
      </c>
      <c r="P142" s="10">
        <f t="shared" si="4"/>
        <v>36.46666667</v>
      </c>
      <c r="Q142" s="10">
        <v>12.0</v>
      </c>
      <c r="R142" s="10">
        <f t="shared" si="5"/>
        <v>24.46666667</v>
      </c>
      <c r="S142" s="10">
        <f t="shared" si="6"/>
        <v>0</v>
      </c>
      <c r="T142" s="10"/>
      <c r="U142" s="10">
        <f t="shared" si="10"/>
        <v>0</v>
      </c>
    </row>
    <row r="143" ht="14.25" customHeight="1">
      <c r="A143" s="21" t="s">
        <v>122</v>
      </c>
      <c r="B143" s="1"/>
      <c r="C143" s="1"/>
      <c r="D143" s="8">
        <v>142.0</v>
      </c>
      <c r="E143" s="8" t="s">
        <v>295</v>
      </c>
      <c r="F143" s="10"/>
      <c r="G143" s="10"/>
      <c r="H143" s="10">
        <f t="shared" si="8"/>
        <v>0</v>
      </c>
      <c r="I143" s="10">
        <f t="shared" si="2"/>
        <v>0</v>
      </c>
      <c r="J143" s="13"/>
      <c r="K143" s="13"/>
      <c r="L143" s="13">
        <f t="shared" si="9"/>
        <v>0</v>
      </c>
      <c r="M143" s="10">
        <v>45078.0</v>
      </c>
      <c r="N143" s="14">
        <v>46172.0</v>
      </c>
      <c r="O143" s="10">
        <v>46172.0</v>
      </c>
      <c r="P143" s="10">
        <f t="shared" si="4"/>
        <v>0</v>
      </c>
      <c r="Q143" s="10">
        <v>0.0</v>
      </c>
      <c r="R143" s="10">
        <f t="shared" si="5"/>
        <v>0</v>
      </c>
      <c r="S143" s="10">
        <f t="shared" si="6"/>
        <v>36.46666667</v>
      </c>
      <c r="T143" s="10">
        <v>36.0</v>
      </c>
      <c r="U143" s="10">
        <f t="shared" si="10"/>
        <v>90000</v>
      </c>
    </row>
    <row r="144" ht="14.25" customHeight="1">
      <c r="A144" s="21" t="s">
        <v>122</v>
      </c>
      <c r="B144" s="1"/>
      <c r="C144" s="1"/>
      <c r="D144" s="8">
        <v>143.0</v>
      </c>
      <c r="E144" s="8" t="s">
        <v>296</v>
      </c>
      <c r="F144" s="10"/>
      <c r="G144" s="10"/>
      <c r="H144" s="10">
        <f t="shared" si="8"/>
        <v>0</v>
      </c>
      <c r="I144" s="10">
        <f t="shared" si="2"/>
        <v>0</v>
      </c>
      <c r="J144" s="13"/>
      <c r="K144" s="13"/>
      <c r="L144" s="13">
        <f t="shared" si="9"/>
        <v>0</v>
      </c>
      <c r="M144" s="10">
        <v>45078.0</v>
      </c>
      <c r="N144" s="14">
        <v>46172.0</v>
      </c>
      <c r="O144" s="10">
        <v>46172.0</v>
      </c>
      <c r="P144" s="10">
        <f t="shared" si="4"/>
        <v>0</v>
      </c>
      <c r="Q144" s="10">
        <v>0.0</v>
      </c>
      <c r="R144" s="10">
        <f t="shared" si="5"/>
        <v>0</v>
      </c>
      <c r="S144" s="10">
        <f t="shared" si="6"/>
        <v>36.46666667</v>
      </c>
      <c r="T144" s="10">
        <v>36.0</v>
      </c>
      <c r="U144" s="10">
        <f t="shared" si="10"/>
        <v>90000</v>
      </c>
    </row>
    <row r="145" ht="14.25" customHeight="1">
      <c r="A145" s="21" t="s">
        <v>122</v>
      </c>
      <c r="B145" s="1"/>
      <c r="C145" s="1"/>
      <c r="D145" s="8">
        <v>144.0</v>
      </c>
      <c r="E145" s="8" t="s">
        <v>297</v>
      </c>
      <c r="F145" s="10"/>
      <c r="G145" s="10"/>
      <c r="H145" s="10">
        <f t="shared" si="8"/>
        <v>0</v>
      </c>
      <c r="I145" s="10">
        <f t="shared" si="2"/>
        <v>0</v>
      </c>
      <c r="J145" s="13"/>
      <c r="K145" s="13"/>
      <c r="L145" s="13">
        <f t="shared" si="9"/>
        <v>0</v>
      </c>
      <c r="M145" s="10">
        <v>45078.0</v>
      </c>
      <c r="N145" s="14">
        <v>46172.0</v>
      </c>
      <c r="O145" s="10">
        <v>46172.0</v>
      </c>
      <c r="P145" s="10">
        <f t="shared" si="4"/>
        <v>0</v>
      </c>
      <c r="Q145" s="10">
        <v>0.0</v>
      </c>
      <c r="R145" s="10">
        <f t="shared" si="5"/>
        <v>0</v>
      </c>
      <c r="S145" s="10">
        <f t="shared" si="6"/>
        <v>36.46666667</v>
      </c>
      <c r="T145" s="10">
        <v>36.0</v>
      </c>
      <c r="U145" s="10">
        <f t="shared" si="10"/>
        <v>90000</v>
      </c>
    </row>
    <row r="146" ht="14.25" customHeight="1">
      <c r="A146" s="1" t="s">
        <v>18</v>
      </c>
      <c r="B146" s="1">
        <v>30000.0</v>
      </c>
      <c r="C146" s="1">
        <v>100000.0</v>
      </c>
      <c r="D146" s="8">
        <v>145.0</v>
      </c>
      <c r="E146" s="9" t="s">
        <v>298</v>
      </c>
      <c r="F146" s="10" t="s">
        <v>299</v>
      </c>
      <c r="G146" s="10"/>
      <c r="H146" s="10">
        <f t="shared" si="8"/>
        <v>0</v>
      </c>
      <c r="I146" s="10">
        <f t="shared" si="2"/>
        <v>12.46666667</v>
      </c>
      <c r="J146" s="12">
        <v>30000.0</v>
      </c>
      <c r="K146" s="13"/>
      <c r="L146" s="13">
        <f t="shared" si="9"/>
        <v>12</v>
      </c>
      <c r="M146" s="10">
        <v>45078.0</v>
      </c>
      <c r="N146" s="14">
        <v>45078.0</v>
      </c>
      <c r="O146" s="10">
        <v>46172.0</v>
      </c>
      <c r="P146" s="10">
        <f t="shared" si="4"/>
        <v>36.46666667</v>
      </c>
      <c r="Q146" s="10">
        <v>12.0</v>
      </c>
      <c r="R146" s="10">
        <f t="shared" si="5"/>
        <v>24.46666667</v>
      </c>
      <c r="S146" s="10">
        <f t="shared" si="6"/>
        <v>0</v>
      </c>
      <c r="T146" s="10"/>
      <c r="U146" s="10">
        <f t="shared" si="10"/>
        <v>0</v>
      </c>
    </row>
    <row r="147" ht="14.25" customHeight="1">
      <c r="A147" s="1" t="s">
        <v>18</v>
      </c>
      <c r="B147" s="1">
        <v>30000.0</v>
      </c>
      <c r="C147" s="1">
        <v>100000.0</v>
      </c>
      <c r="D147" s="8">
        <v>146.0</v>
      </c>
      <c r="E147" s="9" t="s">
        <v>300</v>
      </c>
      <c r="F147" s="10" t="s">
        <v>301</v>
      </c>
      <c r="G147" s="10"/>
      <c r="H147" s="10">
        <f t="shared" si="8"/>
        <v>0</v>
      </c>
      <c r="I147" s="10">
        <f t="shared" si="2"/>
        <v>12.46666667</v>
      </c>
      <c r="J147" s="12">
        <v>30000.0</v>
      </c>
      <c r="K147" s="13"/>
      <c r="L147" s="13">
        <f t="shared" si="9"/>
        <v>12</v>
      </c>
      <c r="M147" s="10">
        <v>45078.0</v>
      </c>
      <c r="N147" s="14">
        <v>45078.0</v>
      </c>
      <c r="O147" s="10">
        <v>46172.0</v>
      </c>
      <c r="P147" s="10">
        <f t="shared" si="4"/>
        <v>36.46666667</v>
      </c>
      <c r="Q147" s="10">
        <v>12.0</v>
      </c>
      <c r="R147" s="10">
        <f t="shared" si="5"/>
        <v>24.46666667</v>
      </c>
      <c r="S147" s="10">
        <f t="shared" si="6"/>
        <v>0</v>
      </c>
      <c r="T147" s="10"/>
      <c r="U147" s="10">
        <f t="shared" si="10"/>
        <v>0</v>
      </c>
    </row>
    <row r="148" ht="14.25" customHeight="1">
      <c r="A148" s="1" t="s">
        <v>18</v>
      </c>
      <c r="B148" s="1">
        <v>30000.0</v>
      </c>
      <c r="C148" s="1">
        <v>100000.0</v>
      </c>
      <c r="D148" s="8">
        <v>147.0</v>
      </c>
      <c r="E148" s="9" t="s">
        <v>302</v>
      </c>
      <c r="F148" s="8" t="s">
        <v>303</v>
      </c>
      <c r="G148" s="11">
        <v>15000.0</v>
      </c>
      <c r="H148" s="10">
        <f t="shared" si="8"/>
        <v>6</v>
      </c>
      <c r="I148" s="10">
        <f t="shared" si="2"/>
        <v>6.466666667</v>
      </c>
      <c r="J148" s="12">
        <v>15000.0</v>
      </c>
      <c r="K148" s="19"/>
      <c r="L148" s="13">
        <f t="shared" si="9"/>
        <v>12</v>
      </c>
      <c r="M148" s="10">
        <v>45078.0</v>
      </c>
      <c r="N148" s="14">
        <v>45078.0</v>
      </c>
      <c r="O148" s="10">
        <v>46172.0</v>
      </c>
      <c r="P148" s="10">
        <f t="shared" si="4"/>
        <v>36.46666667</v>
      </c>
      <c r="Q148" s="10">
        <v>12.0</v>
      </c>
      <c r="R148" s="10">
        <f t="shared" si="5"/>
        <v>24.46666667</v>
      </c>
      <c r="S148" s="10">
        <f t="shared" si="6"/>
        <v>0</v>
      </c>
      <c r="T148" s="10"/>
      <c r="U148" s="10">
        <f t="shared" si="10"/>
        <v>0</v>
      </c>
    </row>
    <row r="149" ht="14.25" customHeight="1">
      <c r="A149" s="21" t="s">
        <v>304</v>
      </c>
      <c r="B149" s="1"/>
      <c r="C149" s="1"/>
      <c r="D149" s="8">
        <v>148.0</v>
      </c>
      <c r="E149" s="27" t="s">
        <v>305</v>
      </c>
      <c r="F149" s="28" t="s">
        <v>306</v>
      </c>
      <c r="G149" s="13"/>
      <c r="H149" s="13">
        <f t="shared" si="8"/>
        <v>0</v>
      </c>
      <c r="I149" s="13">
        <f t="shared" si="2"/>
        <v>12.13333333</v>
      </c>
      <c r="J149" s="12">
        <v>30000.0</v>
      </c>
      <c r="K149" s="13" t="s">
        <v>307</v>
      </c>
      <c r="L149" s="13">
        <f t="shared" si="9"/>
        <v>0</v>
      </c>
      <c r="M149" s="13">
        <v>45078.0</v>
      </c>
      <c r="N149" s="14">
        <v>45658.0</v>
      </c>
      <c r="O149" s="13">
        <v>46172.0</v>
      </c>
      <c r="P149" s="13">
        <f t="shared" si="4"/>
        <v>17.13333333</v>
      </c>
      <c r="Q149" s="19">
        <v>5.0</v>
      </c>
      <c r="R149" s="13">
        <f t="shared" si="5"/>
        <v>12.13333333</v>
      </c>
      <c r="S149" s="13">
        <f t="shared" si="6"/>
        <v>19.33333333</v>
      </c>
      <c r="T149" s="10">
        <v>19.0</v>
      </c>
      <c r="U149" s="10">
        <f t="shared" si="10"/>
        <v>47500</v>
      </c>
    </row>
    <row r="150" ht="14.25" customHeight="1">
      <c r="A150" s="1"/>
      <c r="B150" s="1"/>
      <c r="C150" s="1"/>
      <c r="D150" s="8">
        <v>149.0</v>
      </c>
      <c r="E150" s="8" t="s">
        <v>308</v>
      </c>
      <c r="F150" s="10"/>
      <c r="G150" s="10"/>
      <c r="H150" s="10">
        <f t="shared" si="8"/>
        <v>0</v>
      </c>
      <c r="I150" s="10">
        <f t="shared" si="2"/>
        <v>0</v>
      </c>
      <c r="J150" s="13"/>
      <c r="K150" s="13"/>
      <c r="L150" s="13">
        <f t="shared" si="9"/>
        <v>0</v>
      </c>
      <c r="M150" s="10">
        <v>45078.0</v>
      </c>
      <c r="N150" s="14">
        <v>46172.0</v>
      </c>
      <c r="O150" s="10">
        <v>46172.0</v>
      </c>
      <c r="P150" s="10">
        <f t="shared" si="4"/>
        <v>0</v>
      </c>
      <c r="Q150" s="10">
        <v>0.0</v>
      </c>
      <c r="R150" s="10">
        <f t="shared" si="5"/>
        <v>0</v>
      </c>
      <c r="S150" s="10">
        <f t="shared" si="6"/>
        <v>36.46666667</v>
      </c>
      <c r="T150" s="10">
        <v>36.0</v>
      </c>
      <c r="U150" s="10">
        <f t="shared" si="10"/>
        <v>90000</v>
      </c>
    </row>
    <row r="151" ht="14.25" customHeight="1">
      <c r="A151" s="1"/>
      <c r="B151" s="1"/>
      <c r="C151" s="1"/>
      <c r="D151" s="8">
        <v>150.0</v>
      </c>
      <c r="E151" s="8" t="s">
        <v>309</v>
      </c>
      <c r="F151" s="10"/>
      <c r="G151" s="10"/>
      <c r="H151" s="10">
        <f t="shared" si="8"/>
        <v>0</v>
      </c>
      <c r="I151" s="10">
        <f t="shared" si="2"/>
        <v>0</v>
      </c>
      <c r="J151" s="13"/>
      <c r="K151" s="13"/>
      <c r="L151" s="13">
        <f t="shared" si="9"/>
        <v>0</v>
      </c>
      <c r="M151" s="10">
        <v>45078.0</v>
      </c>
      <c r="N151" s="14">
        <v>46172.0</v>
      </c>
      <c r="O151" s="10">
        <v>46172.0</v>
      </c>
      <c r="P151" s="10">
        <f t="shared" si="4"/>
        <v>0</v>
      </c>
      <c r="Q151" s="10">
        <v>0.0</v>
      </c>
      <c r="R151" s="10">
        <f t="shared" si="5"/>
        <v>0</v>
      </c>
      <c r="S151" s="10">
        <f t="shared" si="6"/>
        <v>36.46666667</v>
      </c>
      <c r="T151" s="10">
        <v>36.0</v>
      </c>
      <c r="U151" s="10">
        <f t="shared" si="10"/>
        <v>90000</v>
      </c>
    </row>
    <row r="152" ht="14.25" customHeight="1">
      <c r="A152" s="1"/>
      <c r="B152" s="1"/>
      <c r="C152" s="1"/>
      <c r="D152" s="8">
        <v>151.0</v>
      </c>
      <c r="E152" s="8" t="s">
        <v>310</v>
      </c>
      <c r="F152" s="10"/>
      <c r="G152" s="10"/>
      <c r="H152" s="10">
        <f t="shared" si="8"/>
        <v>0</v>
      </c>
      <c r="I152" s="10">
        <f t="shared" si="2"/>
        <v>0</v>
      </c>
      <c r="J152" s="13"/>
      <c r="K152" s="13"/>
      <c r="L152" s="13">
        <f t="shared" si="9"/>
        <v>0</v>
      </c>
      <c r="M152" s="10">
        <v>45078.0</v>
      </c>
      <c r="N152" s="14">
        <v>46172.0</v>
      </c>
      <c r="O152" s="10">
        <v>46172.0</v>
      </c>
      <c r="P152" s="10">
        <f t="shared" si="4"/>
        <v>0</v>
      </c>
      <c r="Q152" s="10">
        <v>0.0</v>
      </c>
      <c r="R152" s="10">
        <f t="shared" si="5"/>
        <v>0</v>
      </c>
      <c r="S152" s="10">
        <f t="shared" si="6"/>
        <v>36.46666667</v>
      </c>
      <c r="T152" s="10">
        <v>36.0</v>
      </c>
      <c r="U152" s="10">
        <f t="shared" si="10"/>
        <v>90000</v>
      </c>
    </row>
    <row r="153" ht="14.25" customHeight="1">
      <c r="A153" s="1"/>
      <c r="B153" s="1"/>
      <c r="C153" s="1"/>
      <c r="D153" s="8">
        <v>152.0</v>
      </c>
      <c r="E153" s="8" t="s">
        <v>311</v>
      </c>
      <c r="F153" s="10"/>
      <c r="G153" s="10"/>
      <c r="H153" s="10">
        <f t="shared" si="8"/>
        <v>0</v>
      </c>
      <c r="I153" s="10">
        <f t="shared" si="2"/>
        <v>0</v>
      </c>
      <c r="J153" s="13"/>
      <c r="K153" s="13"/>
      <c r="L153" s="13">
        <f t="shared" si="9"/>
        <v>0</v>
      </c>
      <c r="M153" s="10">
        <v>45078.0</v>
      </c>
      <c r="N153" s="14">
        <v>46172.0</v>
      </c>
      <c r="O153" s="10">
        <v>46172.0</v>
      </c>
      <c r="P153" s="10">
        <f t="shared" si="4"/>
        <v>0</v>
      </c>
      <c r="Q153" s="10">
        <v>0.0</v>
      </c>
      <c r="R153" s="10">
        <f t="shared" si="5"/>
        <v>0</v>
      </c>
      <c r="S153" s="10">
        <f t="shared" si="6"/>
        <v>36.46666667</v>
      </c>
      <c r="T153" s="10">
        <v>36.0</v>
      </c>
      <c r="U153" s="10">
        <f t="shared" si="10"/>
        <v>90000</v>
      </c>
    </row>
    <row r="154" ht="14.25" customHeight="1">
      <c r="A154" s="1" t="s">
        <v>18</v>
      </c>
      <c r="B154" s="1">
        <v>30000.0</v>
      </c>
      <c r="C154" s="1">
        <v>100000.0</v>
      </c>
      <c r="D154" s="8">
        <v>153.0</v>
      </c>
      <c r="E154" s="9" t="s">
        <v>312</v>
      </c>
      <c r="F154" s="10" t="s">
        <v>313</v>
      </c>
      <c r="G154" s="10"/>
      <c r="H154" s="10">
        <f t="shared" si="8"/>
        <v>0</v>
      </c>
      <c r="I154" s="10">
        <f t="shared" si="2"/>
        <v>12.46666667</v>
      </c>
      <c r="J154" s="12">
        <v>30000.0</v>
      </c>
      <c r="K154" s="13"/>
      <c r="L154" s="13">
        <f t="shared" si="9"/>
        <v>12</v>
      </c>
      <c r="M154" s="10">
        <v>45078.0</v>
      </c>
      <c r="N154" s="14">
        <v>45078.0</v>
      </c>
      <c r="O154" s="10">
        <v>46172.0</v>
      </c>
      <c r="P154" s="10">
        <f t="shared" si="4"/>
        <v>36.46666667</v>
      </c>
      <c r="Q154" s="10">
        <v>12.0</v>
      </c>
      <c r="R154" s="10">
        <f t="shared" si="5"/>
        <v>24.46666667</v>
      </c>
      <c r="S154" s="10">
        <f t="shared" si="6"/>
        <v>0</v>
      </c>
      <c r="T154" s="10"/>
      <c r="U154" s="10">
        <f t="shared" si="10"/>
        <v>0</v>
      </c>
    </row>
    <row r="155" ht="14.25" customHeight="1">
      <c r="A155" s="21" t="s">
        <v>203</v>
      </c>
      <c r="B155" s="1"/>
      <c r="C155" s="1"/>
      <c r="D155" s="8">
        <v>154.0</v>
      </c>
      <c r="E155" s="8" t="s">
        <v>314</v>
      </c>
      <c r="F155" s="10"/>
      <c r="G155" s="10"/>
      <c r="H155" s="10">
        <f t="shared" si="8"/>
        <v>0</v>
      </c>
      <c r="I155" s="10">
        <f t="shared" si="2"/>
        <v>0</v>
      </c>
      <c r="J155" s="13"/>
      <c r="K155" s="13" t="s">
        <v>205</v>
      </c>
      <c r="L155" s="13">
        <f t="shared" si="9"/>
        <v>0</v>
      </c>
      <c r="M155" s="10">
        <v>45078.0</v>
      </c>
      <c r="N155" s="14">
        <v>46172.0</v>
      </c>
      <c r="O155" s="10">
        <v>46172.0</v>
      </c>
      <c r="P155" s="10">
        <f t="shared" si="4"/>
        <v>0</v>
      </c>
      <c r="Q155" s="10">
        <v>0.0</v>
      </c>
      <c r="R155" s="10">
        <f t="shared" si="5"/>
        <v>0</v>
      </c>
      <c r="S155" s="10">
        <f t="shared" si="6"/>
        <v>36.46666667</v>
      </c>
      <c r="T155" s="10">
        <v>36.0</v>
      </c>
      <c r="U155" s="10">
        <f t="shared" si="10"/>
        <v>90000</v>
      </c>
    </row>
    <row r="156" ht="14.25" customHeight="1">
      <c r="A156" s="1" t="s">
        <v>18</v>
      </c>
      <c r="B156" s="1">
        <v>30000.0</v>
      </c>
      <c r="C156" s="1">
        <v>100000.0</v>
      </c>
      <c r="D156" s="8">
        <v>155.0</v>
      </c>
      <c r="E156" s="9" t="s">
        <v>315</v>
      </c>
      <c r="F156" s="8" t="s">
        <v>316</v>
      </c>
      <c r="G156" s="11">
        <v>15000.0</v>
      </c>
      <c r="H156" s="10">
        <f t="shared" si="8"/>
        <v>6</v>
      </c>
      <c r="I156" s="10">
        <f t="shared" si="2"/>
        <v>6.466666667</v>
      </c>
      <c r="J156" s="12">
        <v>15000.0</v>
      </c>
      <c r="K156" s="19"/>
      <c r="L156" s="13">
        <f t="shared" si="9"/>
        <v>12</v>
      </c>
      <c r="M156" s="10">
        <v>45078.0</v>
      </c>
      <c r="N156" s="14">
        <v>45078.0</v>
      </c>
      <c r="O156" s="10">
        <v>46172.0</v>
      </c>
      <c r="P156" s="10">
        <f t="shared" si="4"/>
        <v>36.46666667</v>
      </c>
      <c r="Q156" s="10">
        <v>12.0</v>
      </c>
      <c r="R156" s="10">
        <f t="shared" si="5"/>
        <v>24.46666667</v>
      </c>
      <c r="S156" s="10">
        <f t="shared" si="6"/>
        <v>0</v>
      </c>
      <c r="T156" s="10"/>
      <c r="U156" s="10">
        <f t="shared" si="10"/>
        <v>0</v>
      </c>
    </row>
    <row r="157" ht="14.25" customHeight="1">
      <c r="A157" s="1" t="s">
        <v>18</v>
      </c>
      <c r="B157" s="1">
        <v>30000.0</v>
      </c>
      <c r="C157" s="1">
        <v>100000.0</v>
      </c>
      <c r="D157" s="8">
        <v>156.0</v>
      </c>
      <c r="E157" s="9" t="s">
        <v>317</v>
      </c>
      <c r="F157" s="8" t="s">
        <v>318</v>
      </c>
      <c r="G157" s="11">
        <v>15000.0</v>
      </c>
      <c r="H157" s="10">
        <f t="shared" si="8"/>
        <v>6</v>
      </c>
      <c r="I157" s="10">
        <f t="shared" si="2"/>
        <v>6.466666667</v>
      </c>
      <c r="J157" s="12">
        <v>15000.0</v>
      </c>
      <c r="K157" s="19"/>
      <c r="L157" s="13">
        <f t="shared" si="9"/>
        <v>12</v>
      </c>
      <c r="M157" s="10">
        <v>45078.0</v>
      </c>
      <c r="N157" s="14">
        <v>45078.0</v>
      </c>
      <c r="O157" s="10">
        <v>46172.0</v>
      </c>
      <c r="P157" s="10">
        <f t="shared" si="4"/>
        <v>36.46666667</v>
      </c>
      <c r="Q157" s="10">
        <v>12.0</v>
      </c>
      <c r="R157" s="10">
        <f t="shared" si="5"/>
        <v>24.46666667</v>
      </c>
      <c r="S157" s="10">
        <f t="shared" si="6"/>
        <v>0</v>
      </c>
      <c r="T157" s="10"/>
      <c r="U157" s="10">
        <f t="shared" si="10"/>
        <v>0</v>
      </c>
    </row>
    <row r="158" ht="14.25" customHeight="1">
      <c r="A158" s="21" t="s">
        <v>107</v>
      </c>
      <c r="B158" s="1">
        <v>30000.0</v>
      </c>
      <c r="C158" s="1">
        <v>100000.0</v>
      </c>
      <c r="D158" s="8">
        <v>157.0</v>
      </c>
      <c r="E158" s="22" t="s">
        <v>319</v>
      </c>
      <c r="F158" s="8" t="s">
        <v>320</v>
      </c>
      <c r="G158" s="11">
        <v>15000.0</v>
      </c>
      <c r="H158" s="10">
        <f t="shared" si="8"/>
        <v>6</v>
      </c>
      <c r="I158" s="10">
        <f t="shared" si="2"/>
        <v>-2.666666667</v>
      </c>
      <c r="J158" s="19"/>
      <c r="K158" s="19"/>
      <c r="L158" s="13">
        <f t="shared" si="9"/>
        <v>12</v>
      </c>
      <c r="M158" s="10">
        <v>45078.0</v>
      </c>
      <c r="N158" s="14">
        <v>45352.0</v>
      </c>
      <c r="O158" s="10">
        <v>46172.0</v>
      </c>
      <c r="P158" s="10">
        <f t="shared" si="4"/>
        <v>27.33333333</v>
      </c>
      <c r="Q158" s="10">
        <v>12.0</v>
      </c>
      <c r="R158" s="10">
        <f t="shared" si="5"/>
        <v>15.33333333</v>
      </c>
      <c r="S158" s="10">
        <f t="shared" si="6"/>
        <v>9.133333333</v>
      </c>
      <c r="T158" s="10">
        <v>9.0</v>
      </c>
      <c r="U158" s="10">
        <f t="shared" si="10"/>
        <v>22500</v>
      </c>
    </row>
    <row r="159" ht="14.25" customHeight="1">
      <c r="A159" s="1" t="s">
        <v>18</v>
      </c>
      <c r="B159" s="1">
        <v>30000.0</v>
      </c>
      <c r="C159" s="1">
        <v>100000.0</v>
      </c>
      <c r="D159" s="8">
        <v>158.0</v>
      </c>
      <c r="E159" s="9" t="s">
        <v>321</v>
      </c>
      <c r="F159" s="8" t="s">
        <v>322</v>
      </c>
      <c r="G159" s="11">
        <v>15000.0</v>
      </c>
      <c r="H159" s="10">
        <f t="shared" si="8"/>
        <v>6</v>
      </c>
      <c r="I159" s="10">
        <f t="shared" si="2"/>
        <v>6.466666667</v>
      </c>
      <c r="J159" s="12">
        <v>15000.0</v>
      </c>
      <c r="K159" s="19"/>
      <c r="L159" s="13">
        <f t="shared" si="9"/>
        <v>12</v>
      </c>
      <c r="M159" s="10">
        <v>45078.0</v>
      </c>
      <c r="N159" s="14">
        <v>45078.0</v>
      </c>
      <c r="O159" s="10">
        <v>46172.0</v>
      </c>
      <c r="P159" s="10">
        <f t="shared" si="4"/>
        <v>36.46666667</v>
      </c>
      <c r="Q159" s="10">
        <v>12.0</v>
      </c>
      <c r="R159" s="10">
        <f t="shared" si="5"/>
        <v>24.46666667</v>
      </c>
      <c r="S159" s="10">
        <f t="shared" si="6"/>
        <v>0</v>
      </c>
      <c r="T159" s="10"/>
      <c r="U159" s="10">
        <f t="shared" si="10"/>
        <v>0</v>
      </c>
    </row>
    <row r="160" ht="14.25" customHeight="1">
      <c r="A160" s="1" t="s">
        <v>18</v>
      </c>
      <c r="B160" s="1">
        <v>30000.0</v>
      </c>
      <c r="C160" s="1">
        <v>100000.0</v>
      </c>
      <c r="D160" s="8">
        <v>159.0</v>
      </c>
      <c r="E160" s="9" t="s">
        <v>323</v>
      </c>
      <c r="F160" s="8" t="s">
        <v>324</v>
      </c>
      <c r="G160" s="8"/>
      <c r="H160" s="10">
        <f t="shared" si="8"/>
        <v>0</v>
      </c>
      <c r="I160" s="10">
        <f t="shared" si="2"/>
        <v>12.46666667</v>
      </c>
      <c r="J160" s="12">
        <v>30000.0</v>
      </c>
      <c r="K160" s="13"/>
      <c r="L160" s="13">
        <f t="shared" si="9"/>
        <v>12</v>
      </c>
      <c r="M160" s="10">
        <v>45078.0</v>
      </c>
      <c r="N160" s="14">
        <v>45078.0</v>
      </c>
      <c r="O160" s="10">
        <v>46172.0</v>
      </c>
      <c r="P160" s="10">
        <f t="shared" si="4"/>
        <v>36.46666667</v>
      </c>
      <c r="Q160" s="10">
        <v>12.0</v>
      </c>
      <c r="R160" s="10">
        <f t="shared" si="5"/>
        <v>24.46666667</v>
      </c>
      <c r="S160" s="10">
        <f t="shared" si="6"/>
        <v>0</v>
      </c>
      <c r="T160" s="10"/>
      <c r="U160" s="10">
        <f t="shared" si="10"/>
        <v>0</v>
      </c>
    </row>
    <row r="161" ht="14.25" customHeight="1">
      <c r="A161" s="1" t="s">
        <v>18</v>
      </c>
      <c r="B161" s="1">
        <v>30000.0</v>
      </c>
      <c r="C161" s="1">
        <v>100000.0</v>
      </c>
      <c r="D161" s="8">
        <v>160.0</v>
      </c>
      <c r="E161" s="9" t="s">
        <v>325</v>
      </c>
      <c r="F161" s="8" t="s">
        <v>326</v>
      </c>
      <c r="G161" s="11">
        <v>15000.0</v>
      </c>
      <c r="H161" s="10">
        <f t="shared" si="8"/>
        <v>6</v>
      </c>
      <c r="I161" s="10">
        <f t="shared" si="2"/>
        <v>6.466666667</v>
      </c>
      <c r="J161" s="12">
        <v>15000.0</v>
      </c>
      <c r="K161" s="19"/>
      <c r="L161" s="13">
        <f t="shared" si="9"/>
        <v>12</v>
      </c>
      <c r="M161" s="10">
        <v>45078.0</v>
      </c>
      <c r="N161" s="14">
        <v>45078.0</v>
      </c>
      <c r="O161" s="10">
        <v>46172.0</v>
      </c>
      <c r="P161" s="10">
        <f t="shared" si="4"/>
        <v>36.46666667</v>
      </c>
      <c r="Q161" s="10">
        <v>12.0</v>
      </c>
      <c r="R161" s="10">
        <f t="shared" si="5"/>
        <v>24.46666667</v>
      </c>
      <c r="S161" s="10">
        <f t="shared" si="6"/>
        <v>0</v>
      </c>
      <c r="T161" s="10"/>
      <c r="U161" s="10">
        <f t="shared" si="10"/>
        <v>0</v>
      </c>
    </row>
    <row r="162" ht="14.25" customHeight="1">
      <c r="A162" s="1" t="s">
        <v>18</v>
      </c>
      <c r="B162" s="1">
        <v>30000.0</v>
      </c>
      <c r="C162" s="1">
        <v>100000.0</v>
      </c>
      <c r="D162" s="8">
        <v>161.0</v>
      </c>
      <c r="E162" s="9" t="s">
        <v>327</v>
      </c>
      <c r="F162" s="10" t="s">
        <v>328</v>
      </c>
      <c r="G162" s="15">
        <v>15000.0</v>
      </c>
      <c r="H162" s="10">
        <f t="shared" si="8"/>
        <v>6</v>
      </c>
      <c r="I162" s="10">
        <f t="shared" si="2"/>
        <v>6.466666667</v>
      </c>
      <c r="J162" s="12">
        <v>15000.0</v>
      </c>
      <c r="K162" s="19"/>
      <c r="L162" s="13">
        <f t="shared" si="9"/>
        <v>12</v>
      </c>
      <c r="M162" s="10">
        <v>45078.0</v>
      </c>
      <c r="N162" s="14">
        <v>45078.0</v>
      </c>
      <c r="O162" s="10">
        <v>46172.0</v>
      </c>
      <c r="P162" s="10">
        <f t="shared" si="4"/>
        <v>36.46666667</v>
      </c>
      <c r="Q162" s="10">
        <v>12.0</v>
      </c>
      <c r="R162" s="10">
        <f t="shared" si="5"/>
        <v>24.46666667</v>
      </c>
      <c r="S162" s="10">
        <f t="shared" si="6"/>
        <v>0</v>
      </c>
      <c r="T162" s="10"/>
      <c r="U162" s="10">
        <f t="shared" si="10"/>
        <v>0</v>
      </c>
    </row>
    <row r="163" ht="14.25" customHeight="1">
      <c r="A163" s="1" t="s">
        <v>18</v>
      </c>
      <c r="B163" s="1">
        <v>30000.0</v>
      </c>
      <c r="C163" s="1">
        <v>100000.0</v>
      </c>
      <c r="D163" s="8">
        <v>162.0</v>
      </c>
      <c r="E163" s="9" t="s">
        <v>329</v>
      </c>
      <c r="F163" s="8" t="s">
        <v>330</v>
      </c>
      <c r="G163" s="11">
        <v>15000.0</v>
      </c>
      <c r="H163" s="10">
        <f t="shared" si="8"/>
        <v>6</v>
      </c>
      <c r="I163" s="10">
        <f t="shared" si="2"/>
        <v>6.466666667</v>
      </c>
      <c r="J163" s="12">
        <v>15000.0</v>
      </c>
      <c r="K163" s="19"/>
      <c r="L163" s="13">
        <f t="shared" si="9"/>
        <v>12</v>
      </c>
      <c r="M163" s="10">
        <v>45078.0</v>
      </c>
      <c r="N163" s="14">
        <v>45078.0</v>
      </c>
      <c r="O163" s="10">
        <v>46172.0</v>
      </c>
      <c r="P163" s="10">
        <f t="shared" si="4"/>
        <v>36.46666667</v>
      </c>
      <c r="Q163" s="10">
        <v>12.0</v>
      </c>
      <c r="R163" s="10">
        <f t="shared" si="5"/>
        <v>24.46666667</v>
      </c>
      <c r="S163" s="10">
        <f t="shared" si="6"/>
        <v>0</v>
      </c>
      <c r="T163" s="10"/>
      <c r="U163" s="10">
        <f t="shared" si="10"/>
        <v>0</v>
      </c>
    </row>
    <row r="164" ht="14.25" customHeight="1">
      <c r="A164" s="1" t="s">
        <v>18</v>
      </c>
      <c r="B164" s="1">
        <v>30000.0</v>
      </c>
      <c r="C164" s="1">
        <v>100000.0</v>
      </c>
      <c r="D164" s="8">
        <v>163.0</v>
      </c>
      <c r="E164" s="9" t="s">
        <v>331</v>
      </c>
      <c r="F164" s="10" t="s">
        <v>332</v>
      </c>
      <c r="G164" s="15">
        <v>30000.0</v>
      </c>
      <c r="H164" s="10">
        <f t="shared" si="8"/>
        <v>12</v>
      </c>
      <c r="I164" s="10">
        <f t="shared" si="2"/>
        <v>0.4666666667</v>
      </c>
      <c r="J164" s="19"/>
      <c r="K164" s="19"/>
      <c r="L164" s="13">
        <f t="shared" si="9"/>
        <v>12</v>
      </c>
      <c r="M164" s="10">
        <v>45078.0</v>
      </c>
      <c r="N164" s="14">
        <v>45078.0</v>
      </c>
      <c r="O164" s="10">
        <v>46172.0</v>
      </c>
      <c r="P164" s="10">
        <f t="shared" si="4"/>
        <v>36.46666667</v>
      </c>
      <c r="Q164" s="10">
        <v>12.0</v>
      </c>
      <c r="R164" s="10">
        <f t="shared" si="5"/>
        <v>24.46666667</v>
      </c>
      <c r="S164" s="10">
        <f t="shared" si="6"/>
        <v>0</v>
      </c>
      <c r="T164" s="10"/>
      <c r="U164" s="10">
        <f t="shared" si="10"/>
        <v>0</v>
      </c>
    </row>
    <row r="165" ht="14.25" customHeight="1">
      <c r="A165" s="1" t="s">
        <v>18</v>
      </c>
      <c r="B165" s="1">
        <v>30000.0</v>
      </c>
      <c r="C165" s="1">
        <v>100000.0</v>
      </c>
      <c r="D165" s="8">
        <v>164.0</v>
      </c>
      <c r="E165" s="9" t="s">
        <v>333</v>
      </c>
      <c r="F165" s="8" t="s">
        <v>334</v>
      </c>
      <c r="G165" s="11">
        <v>15000.0</v>
      </c>
      <c r="H165" s="10">
        <f t="shared" si="8"/>
        <v>6</v>
      </c>
      <c r="I165" s="10">
        <f t="shared" si="2"/>
        <v>6.466666667</v>
      </c>
      <c r="J165" s="12">
        <v>15000.0</v>
      </c>
      <c r="K165" s="19"/>
      <c r="L165" s="13">
        <f t="shared" si="9"/>
        <v>12</v>
      </c>
      <c r="M165" s="10">
        <v>45078.0</v>
      </c>
      <c r="N165" s="14">
        <v>45078.0</v>
      </c>
      <c r="O165" s="10">
        <v>46172.0</v>
      </c>
      <c r="P165" s="10">
        <f t="shared" si="4"/>
        <v>36.46666667</v>
      </c>
      <c r="Q165" s="10">
        <v>12.0</v>
      </c>
      <c r="R165" s="10">
        <f t="shared" si="5"/>
        <v>24.46666667</v>
      </c>
      <c r="S165" s="10">
        <f t="shared" si="6"/>
        <v>0</v>
      </c>
      <c r="T165" s="10"/>
      <c r="U165" s="10">
        <f t="shared" si="10"/>
        <v>0</v>
      </c>
    </row>
    <row r="166" ht="14.25" customHeight="1">
      <c r="A166" s="1" t="s">
        <v>18</v>
      </c>
      <c r="B166" s="1">
        <v>30000.0</v>
      </c>
      <c r="C166" s="1">
        <v>100000.0</v>
      </c>
      <c r="D166" s="8">
        <v>165.0</v>
      </c>
      <c r="E166" s="9" t="s">
        <v>335</v>
      </c>
      <c r="F166" s="10" t="s">
        <v>336</v>
      </c>
      <c r="G166" s="15">
        <v>15000.0</v>
      </c>
      <c r="H166" s="10">
        <f t="shared" si="8"/>
        <v>6</v>
      </c>
      <c r="I166" s="10">
        <f t="shared" si="2"/>
        <v>6.466666667</v>
      </c>
      <c r="J166" s="12">
        <v>15000.0</v>
      </c>
      <c r="K166" s="19"/>
      <c r="L166" s="13">
        <f t="shared" si="9"/>
        <v>12</v>
      </c>
      <c r="M166" s="10">
        <v>45078.0</v>
      </c>
      <c r="N166" s="14">
        <v>45078.0</v>
      </c>
      <c r="O166" s="10">
        <v>46172.0</v>
      </c>
      <c r="P166" s="10">
        <f t="shared" si="4"/>
        <v>36.46666667</v>
      </c>
      <c r="Q166" s="10">
        <v>12.0</v>
      </c>
      <c r="R166" s="10">
        <f t="shared" si="5"/>
        <v>24.46666667</v>
      </c>
      <c r="S166" s="10">
        <f t="shared" si="6"/>
        <v>0</v>
      </c>
      <c r="T166" s="10"/>
      <c r="U166" s="10">
        <f t="shared" si="10"/>
        <v>0</v>
      </c>
    </row>
    <row r="167" ht="14.25" customHeight="1">
      <c r="A167" s="1" t="s">
        <v>18</v>
      </c>
      <c r="B167" s="1">
        <v>30000.0</v>
      </c>
      <c r="C167" s="1">
        <v>100000.0</v>
      </c>
      <c r="D167" s="8">
        <v>166.0</v>
      </c>
      <c r="E167" s="9" t="s">
        <v>337</v>
      </c>
      <c r="F167" s="10" t="s">
        <v>338</v>
      </c>
      <c r="G167" s="10"/>
      <c r="H167" s="10">
        <f t="shared" si="8"/>
        <v>0</v>
      </c>
      <c r="I167" s="10">
        <f t="shared" si="2"/>
        <v>12.46666667</v>
      </c>
      <c r="J167" s="13"/>
      <c r="K167" s="13"/>
      <c r="L167" s="13">
        <f t="shared" si="9"/>
        <v>12</v>
      </c>
      <c r="M167" s="10">
        <v>45078.0</v>
      </c>
      <c r="N167" s="14">
        <v>45078.0</v>
      </c>
      <c r="O167" s="10">
        <v>46172.0</v>
      </c>
      <c r="P167" s="10">
        <f t="shared" si="4"/>
        <v>36.46666667</v>
      </c>
      <c r="Q167" s="10">
        <v>12.0</v>
      </c>
      <c r="R167" s="10">
        <f t="shared" si="5"/>
        <v>24.46666667</v>
      </c>
      <c r="S167" s="10">
        <f t="shared" si="6"/>
        <v>0</v>
      </c>
      <c r="T167" s="10"/>
      <c r="U167" s="10">
        <f t="shared" si="10"/>
        <v>0</v>
      </c>
    </row>
    <row r="168" ht="14.25" customHeight="1">
      <c r="A168" s="1" t="s">
        <v>18</v>
      </c>
      <c r="B168" s="1">
        <v>30000.0</v>
      </c>
      <c r="C168" s="1">
        <v>100000.0</v>
      </c>
      <c r="D168" s="8">
        <v>167.0</v>
      </c>
      <c r="E168" s="9" t="s">
        <v>339</v>
      </c>
      <c r="F168" s="8" t="s">
        <v>340</v>
      </c>
      <c r="G168" s="11">
        <v>15000.0</v>
      </c>
      <c r="H168" s="10">
        <f t="shared" si="8"/>
        <v>6</v>
      </c>
      <c r="I168" s="10">
        <f t="shared" si="2"/>
        <v>6.466666667</v>
      </c>
      <c r="J168" s="12">
        <v>15000.0</v>
      </c>
      <c r="K168" s="19"/>
      <c r="L168" s="13">
        <f t="shared" si="9"/>
        <v>12</v>
      </c>
      <c r="M168" s="10">
        <v>45078.0</v>
      </c>
      <c r="N168" s="14">
        <v>45078.0</v>
      </c>
      <c r="O168" s="10">
        <v>46172.0</v>
      </c>
      <c r="P168" s="10">
        <f t="shared" si="4"/>
        <v>36.46666667</v>
      </c>
      <c r="Q168" s="10">
        <v>12.0</v>
      </c>
      <c r="R168" s="10">
        <f t="shared" si="5"/>
        <v>24.46666667</v>
      </c>
      <c r="S168" s="10">
        <f t="shared" si="6"/>
        <v>0</v>
      </c>
      <c r="T168" s="10"/>
      <c r="U168" s="10">
        <f t="shared" si="10"/>
        <v>0</v>
      </c>
    </row>
    <row r="169" ht="14.25" customHeight="1">
      <c r="A169" s="1" t="s">
        <v>18</v>
      </c>
      <c r="B169" s="1">
        <v>30000.0</v>
      </c>
      <c r="C169" s="1">
        <v>100000.0</v>
      </c>
      <c r="D169" s="8">
        <v>168.0</v>
      </c>
      <c r="E169" s="9" t="s">
        <v>341</v>
      </c>
      <c r="F169" s="8" t="s">
        <v>342</v>
      </c>
      <c r="G169" s="11">
        <v>15000.0</v>
      </c>
      <c r="H169" s="10">
        <f t="shared" si="8"/>
        <v>6</v>
      </c>
      <c r="I169" s="10">
        <f t="shared" si="2"/>
        <v>6.466666667</v>
      </c>
      <c r="J169" s="12">
        <v>15000.0</v>
      </c>
      <c r="K169" s="19"/>
      <c r="L169" s="13">
        <f t="shared" si="9"/>
        <v>12</v>
      </c>
      <c r="M169" s="10">
        <v>45078.0</v>
      </c>
      <c r="N169" s="14">
        <v>45078.0</v>
      </c>
      <c r="O169" s="10">
        <v>46172.0</v>
      </c>
      <c r="P169" s="10">
        <f t="shared" si="4"/>
        <v>36.46666667</v>
      </c>
      <c r="Q169" s="10">
        <v>12.0</v>
      </c>
      <c r="R169" s="10">
        <f t="shared" si="5"/>
        <v>24.46666667</v>
      </c>
      <c r="S169" s="10">
        <f t="shared" si="6"/>
        <v>0</v>
      </c>
      <c r="T169" s="10"/>
      <c r="U169" s="10">
        <f t="shared" si="10"/>
        <v>0</v>
      </c>
    </row>
    <row r="170" ht="14.25" customHeight="1">
      <c r="A170" s="1" t="s">
        <v>18</v>
      </c>
      <c r="B170" s="1">
        <v>30000.0</v>
      </c>
      <c r="C170" s="1">
        <v>100000.0</v>
      </c>
      <c r="D170" s="8">
        <v>169.0</v>
      </c>
      <c r="E170" s="9" t="s">
        <v>343</v>
      </c>
      <c r="F170" s="8" t="s">
        <v>344</v>
      </c>
      <c r="G170" s="11">
        <v>15000.0</v>
      </c>
      <c r="H170" s="10">
        <f t="shared" si="8"/>
        <v>6</v>
      </c>
      <c r="I170" s="10">
        <f t="shared" si="2"/>
        <v>6.466666667</v>
      </c>
      <c r="J170" s="12">
        <v>15000.0</v>
      </c>
      <c r="K170" s="19"/>
      <c r="L170" s="13">
        <f t="shared" si="9"/>
        <v>12</v>
      </c>
      <c r="M170" s="10">
        <v>45078.0</v>
      </c>
      <c r="N170" s="14">
        <v>45078.0</v>
      </c>
      <c r="O170" s="10">
        <v>46172.0</v>
      </c>
      <c r="P170" s="10">
        <f t="shared" si="4"/>
        <v>36.46666667</v>
      </c>
      <c r="Q170" s="10">
        <v>12.0</v>
      </c>
      <c r="R170" s="10">
        <f t="shared" si="5"/>
        <v>24.46666667</v>
      </c>
      <c r="S170" s="10">
        <f t="shared" si="6"/>
        <v>0</v>
      </c>
      <c r="T170" s="10"/>
      <c r="U170" s="10">
        <f t="shared" si="10"/>
        <v>0</v>
      </c>
    </row>
    <row r="171" ht="14.25" customHeight="1">
      <c r="A171" s="21" t="s">
        <v>304</v>
      </c>
      <c r="B171" s="35"/>
      <c r="C171" s="35">
        <v>100000.0</v>
      </c>
      <c r="D171" s="8">
        <v>170.0</v>
      </c>
      <c r="E171" s="36" t="s">
        <v>345</v>
      </c>
      <c r="F171" s="37" t="s">
        <v>346</v>
      </c>
      <c r="G171" s="38">
        <v>45000.0</v>
      </c>
      <c r="H171" s="13">
        <f t="shared" si="8"/>
        <v>18</v>
      </c>
      <c r="I171" s="13">
        <f t="shared" si="2"/>
        <v>6.466666667</v>
      </c>
      <c r="J171" s="12">
        <v>15000.0</v>
      </c>
      <c r="K171" s="12" t="s">
        <v>347</v>
      </c>
      <c r="L171" s="13">
        <f t="shared" si="9"/>
        <v>0</v>
      </c>
      <c r="M171" s="13">
        <v>45078.0</v>
      </c>
      <c r="N171" s="14">
        <v>45078.0</v>
      </c>
      <c r="O171" s="13">
        <v>46172.0</v>
      </c>
      <c r="P171" s="13">
        <f t="shared" si="4"/>
        <v>36.46666667</v>
      </c>
      <c r="Q171" s="13">
        <v>12.0</v>
      </c>
      <c r="R171" s="13">
        <f t="shared" si="5"/>
        <v>24.46666667</v>
      </c>
      <c r="S171" s="13">
        <f t="shared" si="6"/>
        <v>0</v>
      </c>
      <c r="T171" s="10"/>
      <c r="U171" s="10">
        <f t="shared" si="10"/>
        <v>0</v>
      </c>
    </row>
    <row r="172" ht="14.25" customHeight="1">
      <c r="A172" s="1" t="s">
        <v>18</v>
      </c>
      <c r="B172" s="1">
        <v>30000.0</v>
      </c>
      <c r="C172" s="1">
        <v>100000.0</v>
      </c>
      <c r="D172" s="8">
        <v>171.0</v>
      </c>
      <c r="E172" s="9" t="s">
        <v>348</v>
      </c>
      <c r="F172" s="10" t="s">
        <v>349</v>
      </c>
      <c r="G172" s="15">
        <v>15000.0</v>
      </c>
      <c r="H172" s="10">
        <f t="shared" si="8"/>
        <v>6</v>
      </c>
      <c r="I172" s="10">
        <f t="shared" si="2"/>
        <v>6.466666667</v>
      </c>
      <c r="J172" s="12">
        <v>15000.0</v>
      </c>
      <c r="K172" s="19"/>
      <c r="L172" s="13">
        <f t="shared" si="9"/>
        <v>12</v>
      </c>
      <c r="M172" s="10">
        <v>45078.0</v>
      </c>
      <c r="N172" s="14">
        <v>45078.0</v>
      </c>
      <c r="O172" s="10">
        <v>46172.0</v>
      </c>
      <c r="P172" s="10">
        <f t="shared" si="4"/>
        <v>36.46666667</v>
      </c>
      <c r="Q172" s="10">
        <v>12.0</v>
      </c>
      <c r="R172" s="10">
        <f t="shared" si="5"/>
        <v>24.46666667</v>
      </c>
      <c r="S172" s="10">
        <f t="shared" si="6"/>
        <v>0</v>
      </c>
      <c r="T172" s="10"/>
      <c r="U172" s="10">
        <f t="shared" si="10"/>
        <v>0</v>
      </c>
    </row>
    <row r="173" ht="14.25" customHeight="1">
      <c r="A173" s="21" t="s">
        <v>122</v>
      </c>
      <c r="B173" s="1"/>
      <c r="C173" s="1"/>
      <c r="D173" s="8">
        <v>172.0</v>
      </c>
      <c r="E173" s="8" t="s">
        <v>350</v>
      </c>
      <c r="F173" s="10"/>
      <c r="G173" s="10"/>
      <c r="H173" s="10">
        <f t="shared" si="8"/>
        <v>0</v>
      </c>
      <c r="I173" s="10">
        <f t="shared" si="2"/>
        <v>0</v>
      </c>
      <c r="J173" s="13"/>
      <c r="K173" s="13"/>
      <c r="L173" s="13">
        <f t="shared" si="9"/>
        <v>0</v>
      </c>
      <c r="M173" s="10">
        <v>45078.0</v>
      </c>
      <c r="N173" s="14">
        <v>46172.0</v>
      </c>
      <c r="O173" s="10">
        <v>46172.0</v>
      </c>
      <c r="P173" s="10">
        <f t="shared" si="4"/>
        <v>0</v>
      </c>
      <c r="Q173" s="10">
        <v>0.0</v>
      </c>
      <c r="R173" s="10">
        <f t="shared" si="5"/>
        <v>0</v>
      </c>
      <c r="S173" s="10">
        <f t="shared" si="6"/>
        <v>36.46666667</v>
      </c>
      <c r="T173" s="10">
        <v>36.0</v>
      </c>
      <c r="U173" s="10">
        <f t="shared" si="10"/>
        <v>90000</v>
      </c>
    </row>
    <row r="174" ht="14.25" customHeight="1">
      <c r="A174" s="1" t="s">
        <v>18</v>
      </c>
      <c r="B174" s="1">
        <v>30000.0</v>
      </c>
      <c r="C174" s="1">
        <v>100000.0</v>
      </c>
      <c r="D174" s="8">
        <v>173.0</v>
      </c>
      <c r="E174" s="9" t="s">
        <v>351</v>
      </c>
      <c r="F174" s="8" t="s">
        <v>352</v>
      </c>
      <c r="G174" s="11">
        <v>15000.0</v>
      </c>
      <c r="H174" s="10">
        <f t="shared" si="8"/>
        <v>6</v>
      </c>
      <c r="I174" s="10">
        <f t="shared" si="2"/>
        <v>6.466666667</v>
      </c>
      <c r="J174" s="12">
        <v>15000.0</v>
      </c>
      <c r="K174" s="19"/>
      <c r="L174" s="13">
        <f t="shared" si="9"/>
        <v>12</v>
      </c>
      <c r="M174" s="10">
        <v>45078.0</v>
      </c>
      <c r="N174" s="14">
        <v>45078.0</v>
      </c>
      <c r="O174" s="10">
        <v>46172.0</v>
      </c>
      <c r="P174" s="10">
        <f t="shared" si="4"/>
        <v>36.46666667</v>
      </c>
      <c r="Q174" s="10">
        <v>12.0</v>
      </c>
      <c r="R174" s="10">
        <f t="shared" si="5"/>
        <v>24.46666667</v>
      </c>
      <c r="S174" s="10">
        <f t="shared" si="6"/>
        <v>0</v>
      </c>
      <c r="T174" s="10"/>
      <c r="U174" s="10">
        <f t="shared" si="10"/>
        <v>0</v>
      </c>
    </row>
    <row r="175" ht="14.25" customHeight="1">
      <c r="A175" s="1" t="s">
        <v>18</v>
      </c>
      <c r="B175" s="1">
        <v>30000.0</v>
      </c>
      <c r="C175" s="1">
        <v>100000.0</v>
      </c>
      <c r="D175" s="8">
        <v>174.0</v>
      </c>
      <c r="E175" s="9" t="s">
        <v>353</v>
      </c>
      <c r="F175" s="8" t="s">
        <v>354</v>
      </c>
      <c r="G175" s="11">
        <v>15000.0</v>
      </c>
      <c r="H175" s="10">
        <f t="shared" si="8"/>
        <v>6</v>
      </c>
      <c r="I175" s="10">
        <f t="shared" si="2"/>
        <v>6.466666667</v>
      </c>
      <c r="J175" s="12">
        <v>15000.0</v>
      </c>
      <c r="K175" s="19"/>
      <c r="L175" s="13">
        <f t="shared" si="9"/>
        <v>12</v>
      </c>
      <c r="M175" s="10">
        <v>45078.0</v>
      </c>
      <c r="N175" s="14">
        <v>45078.0</v>
      </c>
      <c r="O175" s="10">
        <v>46172.0</v>
      </c>
      <c r="P175" s="10">
        <f t="shared" si="4"/>
        <v>36.46666667</v>
      </c>
      <c r="Q175" s="10">
        <v>12.0</v>
      </c>
      <c r="R175" s="10">
        <f t="shared" si="5"/>
        <v>24.46666667</v>
      </c>
      <c r="S175" s="10">
        <f t="shared" si="6"/>
        <v>0</v>
      </c>
      <c r="T175" s="10"/>
      <c r="U175" s="10">
        <f t="shared" si="10"/>
        <v>0</v>
      </c>
    </row>
    <row r="176" ht="14.25" customHeight="1">
      <c r="A176" s="1" t="s">
        <v>18</v>
      </c>
      <c r="B176" s="1">
        <v>30000.0</v>
      </c>
      <c r="C176" s="1">
        <v>100000.0</v>
      </c>
      <c r="D176" s="8">
        <v>175.0</v>
      </c>
      <c r="E176" s="9" t="s">
        <v>355</v>
      </c>
      <c r="F176" s="8" t="s">
        <v>356</v>
      </c>
      <c r="G176" s="11">
        <v>15000.0</v>
      </c>
      <c r="H176" s="10">
        <f t="shared" si="8"/>
        <v>6</v>
      </c>
      <c r="I176" s="10">
        <f t="shared" si="2"/>
        <v>6.466666667</v>
      </c>
      <c r="J176" s="12">
        <v>15000.0</v>
      </c>
      <c r="K176" s="19"/>
      <c r="L176" s="13">
        <f t="shared" si="9"/>
        <v>12</v>
      </c>
      <c r="M176" s="10">
        <v>45078.0</v>
      </c>
      <c r="N176" s="14">
        <v>45078.0</v>
      </c>
      <c r="O176" s="10">
        <v>46172.0</v>
      </c>
      <c r="P176" s="10">
        <f t="shared" si="4"/>
        <v>36.46666667</v>
      </c>
      <c r="Q176" s="10">
        <v>12.0</v>
      </c>
      <c r="R176" s="10">
        <f t="shared" si="5"/>
        <v>24.46666667</v>
      </c>
      <c r="S176" s="10">
        <f t="shared" si="6"/>
        <v>0</v>
      </c>
      <c r="T176" s="10"/>
      <c r="U176" s="10">
        <f t="shared" si="10"/>
        <v>0</v>
      </c>
    </row>
    <row r="177" ht="14.25" customHeight="1">
      <c r="A177" s="1" t="s">
        <v>18</v>
      </c>
      <c r="B177" s="1">
        <v>30000.0</v>
      </c>
      <c r="C177" s="1">
        <v>100000.0</v>
      </c>
      <c r="D177" s="8">
        <v>176.0</v>
      </c>
      <c r="E177" s="9" t="s">
        <v>357</v>
      </c>
      <c r="F177" s="8" t="s">
        <v>358</v>
      </c>
      <c r="G177" s="11">
        <v>15000.0</v>
      </c>
      <c r="H177" s="10">
        <f t="shared" si="8"/>
        <v>6</v>
      </c>
      <c r="I177" s="10">
        <f t="shared" si="2"/>
        <v>6.466666667</v>
      </c>
      <c r="J177" s="12">
        <v>15000.0</v>
      </c>
      <c r="K177" s="19"/>
      <c r="L177" s="13">
        <f t="shared" si="9"/>
        <v>12</v>
      </c>
      <c r="M177" s="10">
        <v>45078.0</v>
      </c>
      <c r="N177" s="14">
        <v>45078.0</v>
      </c>
      <c r="O177" s="10">
        <v>46172.0</v>
      </c>
      <c r="P177" s="10">
        <f t="shared" si="4"/>
        <v>36.46666667</v>
      </c>
      <c r="Q177" s="10">
        <v>12.0</v>
      </c>
      <c r="R177" s="10">
        <f t="shared" si="5"/>
        <v>24.46666667</v>
      </c>
      <c r="S177" s="10">
        <f t="shared" si="6"/>
        <v>0</v>
      </c>
      <c r="T177" s="10"/>
      <c r="U177" s="10">
        <f t="shared" si="10"/>
        <v>0</v>
      </c>
    </row>
    <row r="178" ht="14.25" customHeight="1">
      <c r="A178" s="1" t="s">
        <v>18</v>
      </c>
      <c r="B178" s="1">
        <v>30000.0</v>
      </c>
      <c r="C178" s="1">
        <v>100000.0</v>
      </c>
      <c r="D178" s="8">
        <v>177.0</v>
      </c>
      <c r="E178" s="9" t="s">
        <v>359</v>
      </c>
      <c r="F178" s="8" t="s">
        <v>360</v>
      </c>
      <c r="G178" s="11">
        <v>15000.0</v>
      </c>
      <c r="H178" s="10">
        <f t="shared" si="8"/>
        <v>6</v>
      </c>
      <c r="I178" s="10">
        <f t="shared" si="2"/>
        <v>6.466666667</v>
      </c>
      <c r="J178" s="12">
        <v>15000.0</v>
      </c>
      <c r="K178" s="19"/>
      <c r="L178" s="13">
        <f t="shared" si="9"/>
        <v>12</v>
      </c>
      <c r="M178" s="10">
        <v>45078.0</v>
      </c>
      <c r="N178" s="14">
        <v>45078.0</v>
      </c>
      <c r="O178" s="10">
        <v>46172.0</v>
      </c>
      <c r="P178" s="10">
        <f t="shared" si="4"/>
        <v>36.46666667</v>
      </c>
      <c r="Q178" s="10">
        <v>12.0</v>
      </c>
      <c r="R178" s="10">
        <f t="shared" si="5"/>
        <v>24.46666667</v>
      </c>
      <c r="S178" s="10">
        <f t="shared" si="6"/>
        <v>0</v>
      </c>
      <c r="T178" s="10"/>
      <c r="U178" s="10">
        <f t="shared" si="10"/>
        <v>0</v>
      </c>
    </row>
    <row r="179" ht="14.25" customHeight="1">
      <c r="A179" s="1" t="s">
        <v>18</v>
      </c>
      <c r="B179" s="1">
        <v>30000.0</v>
      </c>
      <c r="C179" s="1">
        <v>100000.0</v>
      </c>
      <c r="D179" s="8">
        <v>178.0</v>
      </c>
      <c r="E179" s="9" t="s">
        <v>361</v>
      </c>
      <c r="F179" s="8" t="s">
        <v>362</v>
      </c>
      <c r="G179" s="11">
        <v>15000.0</v>
      </c>
      <c r="H179" s="10">
        <f t="shared" si="8"/>
        <v>6</v>
      </c>
      <c r="I179" s="10">
        <f t="shared" si="2"/>
        <v>6.466666667</v>
      </c>
      <c r="J179" s="12">
        <v>15000.0</v>
      </c>
      <c r="K179" s="19"/>
      <c r="L179" s="13">
        <f t="shared" si="9"/>
        <v>12</v>
      </c>
      <c r="M179" s="10">
        <v>45078.0</v>
      </c>
      <c r="N179" s="14">
        <v>45078.0</v>
      </c>
      <c r="O179" s="10">
        <v>46172.0</v>
      </c>
      <c r="P179" s="10">
        <f t="shared" si="4"/>
        <v>36.46666667</v>
      </c>
      <c r="Q179" s="10">
        <v>12.0</v>
      </c>
      <c r="R179" s="10">
        <f t="shared" si="5"/>
        <v>24.46666667</v>
      </c>
      <c r="S179" s="10">
        <f t="shared" si="6"/>
        <v>0</v>
      </c>
      <c r="T179" s="10"/>
      <c r="U179" s="10">
        <f t="shared" si="10"/>
        <v>0</v>
      </c>
    </row>
    <row r="180" ht="14.25" customHeight="1">
      <c r="A180" s="1" t="s">
        <v>18</v>
      </c>
      <c r="B180" s="1">
        <v>30000.0</v>
      </c>
      <c r="C180" s="1">
        <v>100000.0</v>
      </c>
      <c r="D180" s="8">
        <v>179.0</v>
      </c>
      <c r="E180" s="9" t="s">
        <v>363</v>
      </c>
      <c r="F180" s="8" t="s">
        <v>364</v>
      </c>
      <c r="G180" s="11">
        <v>15000.0</v>
      </c>
      <c r="H180" s="10">
        <f t="shared" si="8"/>
        <v>6</v>
      </c>
      <c r="I180" s="10">
        <f t="shared" si="2"/>
        <v>6.466666667</v>
      </c>
      <c r="J180" s="12">
        <v>15000.0</v>
      </c>
      <c r="K180" s="19"/>
      <c r="L180" s="13">
        <f t="shared" si="9"/>
        <v>12</v>
      </c>
      <c r="M180" s="10">
        <v>45078.0</v>
      </c>
      <c r="N180" s="14">
        <v>45078.0</v>
      </c>
      <c r="O180" s="10">
        <v>46172.0</v>
      </c>
      <c r="P180" s="10">
        <f t="shared" si="4"/>
        <v>36.46666667</v>
      </c>
      <c r="Q180" s="10">
        <v>12.0</v>
      </c>
      <c r="R180" s="10">
        <f t="shared" si="5"/>
        <v>24.46666667</v>
      </c>
      <c r="S180" s="10">
        <f t="shared" si="6"/>
        <v>0</v>
      </c>
      <c r="T180" s="10"/>
      <c r="U180" s="10">
        <f t="shared" si="10"/>
        <v>0</v>
      </c>
    </row>
    <row r="181" ht="14.25" customHeight="1">
      <c r="A181" s="21" t="s">
        <v>107</v>
      </c>
      <c r="B181" s="1">
        <v>30000.0</v>
      </c>
      <c r="C181" s="1">
        <v>100000.0</v>
      </c>
      <c r="D181" s="8">
        <v>180.0</v>
      </c>
      <c r="E181" s="22" t="s">
        <v>365</v>
      </c>
      <c r="F181" s="8" t="s">
        <v>366</v>
      </c>
      <c r="G181" s="11">
        <v>15000.0</v>
      </c>
      <c r="H181" s="10">
        <f t="shared" si="8"/>
        <v>6</v>
      </c>
      <c r="I181" s="10">
        <f t="shared" si="2"/>
        <v>2.4</v>
      </c>
      <c r="J181" s="12">
        <v>5000.0</v>
      </c>
      <c r="K181" s="19"/>
      <c r="L181" s="13">
        <f t="shared" si="9"/>
        <v>12</v>
      </c>
      <c r="M181" s="10">
        <v>45078.0</v>
      </c>
      <c r="N181" s="14">
        <v>45200.0</v>
      </c>
      <c r="O181" s="10">
        <v>46172.0</v>
      </c>
      <c r="P181" s="10">
        <f t="shared" si="4"/>
        <v>32.4</v>
      </c>
      <c r="Q181" s="10">
        <v>12.0</v>
      </c>
      <c r="R181" s="10">
        <f t="shared" si="5"/>
        <v>20.4</v>
      </c>
      <c r="S181" s="10">
        <f t="shared" si="6"/>
        <v>4.066666667</v>
      </c>
      <c r="T181" s="10">
        <v>4.0</v>
      </c>
      <c r="U181" s="10">
        <f t="shared" si="10"/>
        <v>10000</v>
      </c>
    </row>
    <row r="182" ht="14.25" customHeight="1">
      <c r="A182" s="1" t="s">
        <v>18</v>
      </c>
      <c r="B182" s="1">
        <v>30000.0</v>
      </c>
      <c r="C182" s="1">
        <v>100000.0</v>
      </c>
      <c r="D182" s="8">
        <v>181.0</v>
      </c>
      <c r="E182" s="9" t="s">
        <v>367</v>
      </c>
      <c r="F182" s="8" t="s">
        <v>368</v>
      </c>
      <c r="G182" s="11">
        <v>15000.0</v>
      </c>
      <c r="H182" s="10">
        <f t="shared" si="8"/>
        <v>6</v>
      </c>
      <c r="I182" s="10">
        <f t="shared" si="2"/>
        <v>6.466666667</v>
      </c>
      <c r="J182" s="12">
        <v>15000.0</v>
      </c>
      <c r="K182" s="19"/>
      <c r="L182" s="13">
        <f t="shared" si="9"/>
        <v>12</v>
      </c>
      <c r="M182" s="10">
        <v>45078.0</v>
      </c>
      <c r="N182" s="14">
        <v>45078.0</v>
      </c>
      <c r="O182" s="10">
        <v>46172.0</v>
      </c>
      <c r="P182" s="10">
        <f t="shared" si="4"/>
        <v>36.46666667</v>
      </c>
      <c r="Q182" s="10">
        <v>12.0</v>
      </c>
      <c r="R182" s="10">
        <f t="shared" si="5"/>
        <v>24.46666667</v>
      </c>
      <c r="S182" s="10">
        <f t="shared" si="6"/>
        <v>0</v>
      </c>
      <c r="T182" s="10"/>
      <c r="U182" s="10">
        <f t="shared" si="10"/>
        <v>0</v>
      </c>
    </row>
    <row r="183" ht="14.25" customHeight="1">
      <c r="A183" s="1" t="s">
        <v>18</v>
      </c>
      <c r="B183" s="1">
        <v>30001.0</v>
      </c>
      <c r="C183" s="1">
        <v>100000.0</v>
      </c>
      <c r="D183" s="8">
        <v>182.0</v>
      </c>
      <c r="E183" s="9" t="s">
        <v>369</v>
      </c>
      <c r="F183" s="8" t="s">
        <v>370</v>
      </c>
      <c r="G183" s="11">
        <v>15000.0</v>
      </c>
      <c r="H183" s="10">
        <f t="shared" si="8"/>
        <v>6</v>
      </c>
      <c r="I183" s="10">
        <f t="shared" si="2"/>
        <v>6.466266667</v>
      </c>
      <c r="J183" s="12">
        <v>15000.0</v>
      </c>
      <c r="K183" s="19"/>
      <c r="L183" s="13">
        <f t="shared" si="9"/>
        <v>12.0004</v>
      </c>
      <c r="M183" s="10">
        <v>45078.0</v>
      </c>
      <c r="N183" s="14">
        <v>45078.0</v>
      </c>
      <c r="O183" s="10">
        <v>46172.0</v>
      </c>
      <c r="P183" s="10">
        <f t="shared" si="4"/>
        <v>36.46666667</v>
      </c>
      <c r="Q183" s="10">
        <v>12.0</v>
      </c>
      <c r="R183" s="10">
        <f t="shared" si="5"/>
        <v>24.46666667</v>
      </c>
      <c r="S183" s="10">
        <f t="shared" si="6"/>
        <v>0</v>
      </c>
      <c r="T183" s="10"/>
      <c r="U183" s="10">
        <f t="shared" si="10"/>
        <v>0</v>
      </c>
    </row>
    <row r="184" ht="14.25" customHeight="1">
      <c r="A184" s="1" t="s">
        <v>18</v>
      </c>
      <c r="B184" s="1">
        <v>30000.0</v>
      </c>
      <c r="C184" s="1">
        <v>100000.0</v>
      </c>
      <c r="D184" s="8">
        <v>183.0</v>
      </c>
      <c r="E184" s="9" t="s">
        <v>371</v>
      </c>
      <c r="F184" s="10" t="s">
        <v>372</v>
      </c>
      <c r="G184" s="17">
        <v>15000.0</v>
      </c>
      <c r="H184" s="10">
        <f t="shared" si="8"/>
        <v>6</v>
      </c>
      <c r="I184" s="10">
        <f t="shared" si="2"/>
        <v>6.466666667</v>
      </c>
      <c r="J184" s="12">
        <v>15000.0</v>
      </c>
      <c r="K184" s="13"/>
      <c r="L184" s="13">
        <f t="shared" si="9"/>
        <v>12</v>
      </c>
      <c r="M184" s="10">
        <v>45078.0</v>
      </c>
      <c r="N184" s="14">
        <v>45078.0</v>
      </c>
      <c r="O184" s="10">
        <v>46172.0</v>
      </c>
      <c r="P184" s="10">
        <f t="shared" si="4"/>
        <v>36.46666667</v>
      </c>
      <c r="Q184" s="10">
        <v>12.0</v>
      </c>
      <c r="R184" s="10">
        <f t="shared" si="5"/>
        <v>24.46666667</v>
      </c>
      <c r="S184" s="10">
        <f t="shared" si="6"/>
        <v>0</v>
      </c>
      <c r="T184" s="10"/>
      <c r="U184" s="10">
        <f t="shared" si="10"/>
        <v>0</v>
      </c>
    </row>
    <row r="185" ht="14.25" customHeight="1">
      <c r="A185" s="1" t="s">
        <v>18</v>
      </c>
      <c r="B185" s="1">
        <v>30000.0</v>
      </c>
      <c r="C185" s="1">
        <v>100000.0</v>
      </c>
      <c r="D185" s="8">
        <v>184.0</v>
      </c>
      <c r="E185" s="9" t="s">
        <v>373</v>
      </c>
      <c r="F185" s="8" t="s">
        <v>374</v>
      </c>
      <c r="G185" s="11">
        <v>15000.0</v>
      </c>
      <c r="H185" s="10">
        <f t="shared" si="8"/>
        <v>6</v>
      </c>
      <c r="I185" s="10">
        <f t="shared" si="2"/>
        <v>6.466666667</v>
      </c>
      <c r="J185" s="12">
        <v>15000.0</v>
      </c>
      <c r="K185" s="19"/>
      <c r="L185" s="13">
        <f t="shared" si="9"/>
        <v>12</v>
      </c>
      <c r="M185" s="10">
        <v>45078.0</v>
      </c>
      <c r="N185" s="14">
        <v>45078.0</v>
      </c>
      <c r="O185" s="10">
        <v>46172.0</v>
      </c>
      <c r="P185" s="10">
        <f t="shared" si="4"/>
        <v>36.46666667</v>
      </c>
      <c r="Q185" s="10">
        <v>12.0</v>
      </c>
      <c r="R185" s="10">
        <f t="shared" si="5"/>
        <v>24.46666667</v>
      </c>
      <c r="S185" s="10">
        <f t="shared" si="6"/>
        <v>0</v>
      </c>
      <c r="T185" s="10"/>
      <c r="U185" s="10">
        <f t="shared" si="10"/>
        <v>0</v>
      </c>
    </row>
    <row r="186" ht="14.25" customHeight="1">
      <c r="A186" s="1" t="s">
        <v>18</v>
      </c>
      <c r="B186" s="1">
        <v>30000.0</v>
      </c>
      <c r="C186" s="1">
        <v>100000.0</v>
      </c>
      <c r="D186" s="8">
        <v>185.0</v>
      </c>
      <c r="E186" s="9" t="s">
        <v>375</v>
      </c>
      <c r="F186" s="8" t="s">
        <v>376</v>
      </c>
      <c r="G186" s="11">
        <v>15000.0</v>
      </c>
      <c r="H186" s="10">
        <f t="shared" si="8"/>
        <v>6</v>
      </c>
      <c r="I186" s="10">
        <f t="shared" si="2"/>
        <v>6.466666667</v>
      </c>
      <c r="J186" s="12">
        <v>15000.0</v>
      </c>
      <c r="K186" s="19"/>
      <c r="L186" s="13">
        <f t="shared" si="9"/>
        <v>12</v>
      </c>
      <c r="M186" s="10">
        <v>45078.0</v>
      </c>
      <c r="N186" s="14">
        <v>45078.0</v>
      </c>
      <c r="O186" s="10">
        <v>46172.0</v>
      </c>
      <c r="P186" s="10">
        <f t="shared" si="4"/>
        <v>36.46666667</v>
      </c>
      <c r="Q186" s="10">
        <v>12.0</v>
      </c>
      <c r="R186" s="10">
        <f t="shared" si="5"/>
        <v>24.46666667</v>
      </c>
      <c r="S186" s="10">
        <f t="shared" si="6"/>
        <v>0</v>
      </c>
      <c r="T186" s="10"/>
      <c r="U186" s="10">
        <f t="shared" si="10"/>
        <v>0</v>
      </c>
    </row>
    <row r="187" ht="14.25" customHeight="1">
      <c r="A187" s="1" t="s">
        <v>18</v>
      </c>
      <c r="B187" s="1">
        <v>30000.0</v>
      </c>
      <c r="C187" s="1">
        <v>100000.0</v>
      </c>
      <c r="D187" s="8">
        <v>186.0</v>
      </c>
      <c r="E187" s="9" t="s">
        <v>377</v>
      </c>
      <c r="F187" s="8" t="s">
        <v>378</v>
      </c>
      <c r="G187" s="11">
        <v>15000.0</v>
      </c>
      <c r="H187" s="10">
        <f t="shared" si="8"/>
        <v>6</v>
      </c>
      <c r="I187" s="10">
        <f t="shared" si="2"/>
        <v>6.466666667</v>
      </c>
      <c r="J187" s="12">
        <v>15000.0</v>
      </c>
      <c r="K187" s="19"/>
      <c r="L187" s="13">
        <f t="shared" si="9"/>
        <v>12</v>
      </c>
      <c r="M187" s="10">
        <v>45078.0</v>
      </c>
      <c r="N187" s="14">
        <v>45078.0</v>
      </c>
      <c r="O187" s="10">
        <v>46172.0</v>
      </c>
      <c r="P187" s="10">
        <f t="shared" si="4"/>
        <v>36.46666667</v>
      </c>
      <c r="Q187" s="10">
        <v>12.0</v>
      </c>
      <c r="R187" s="10">
        <f t="shared" si="5"/>
        <v>24.46666667</v>
      </c>
      <c r="S187" s="10">
        <f t="shared" si="6"/>
        <v>0</v>
      </c>
      <c r="T187" s="10"/>
      <c r="U187" s="10">
        <f t="shared" si="10"/>
        <v>0</v>
      </c>
    </row>
    <row r="188" ht="14.25" customHeight="1">
      <c r="A188" s="1" t="s">
        <v>18</v>
      </c>
      <c r="B188" s="1">
        <v>30000.0</v>
      </c>
      <c r="C188" s="1">
        <v>100000.0</v>
      </c>
      <c r="D188" s="8">
        <v>187.0</v>
      </c>
      <c r="E188" s="9" t="s">
        <v>379</v>
      </c>
      <c r="F188" s="8" t="s">
        <v>380</v>
      </c>
      <c r="G188" s="11">
        <v>15000.0</v>
      </c>
      <c r="H188" s="10">
        <f t="shared" si="8"/>
        <v>6</v>
      </c>
      <c r="I188" s="10">
        <f t="shared" si="2"/>
        <v>6.466666667</v>
      </c>
      <c r="J188" s="12">
        <v>15000.0</v>
      </c>
      <c r="K188" s="19"/>
      <c r="L188" s="13">
        <f t="shared" si="9"/>
        <v>12</v>
      </c>
      <c r="M188" s="10">
        <v>45078.0</v>
      </c>
      <c r="N188" s="14">
        <v>45078.0</v>
      </c>
      <c r="O188" s="10">
        <v>46172.0</v>
      </c>
      <c r="P188" s="10">
        <f t="shared" si="4"/>
        <v>36.46666667</v>
      </c>
      <c r="Q188" s="10">
        <v>12.0</v>
      </c>
      <c r="R188" s="10">
        <f t="shared" si="5"/>
        <v>24.46666667</v>
      </c>
      <c r="S188" s="10">
        <f t="shared" si="6"/>
        <v>0</v>
      </c>
      <c r="T188" s="10"/>
      <c r="U188" s="10">
        <f t="shared" si="10"/>
        <v>0</v>
      </c>
    </row>
    <row r="189" ht="14.25" customHeight="1">
      <c r="A189" s="21" t="s">
        <v>122</v>
      </c>
      <c r="B189" s="1"/>
      <c r="C189" s="1"/>
      <c r="D189" s="8">
        <v>188.0</v>
      </c>
      <c r="E189" s="8" t="s">
        <v>381</v>
      </c>
      <c r="F189" s="10"/>
      <c r="G189" s="10"/>
      <c r="H189" s="10">
        <f t="shared" si="8"/>
        <v>0</v>
      </c>
      <c r="I189" s="10">
        <f t="shared" si="2"/>
        <v>0</v>
      </c>
      <c r="J189" s="13"/>
      <c r="K189" s="13"/>
      <c r="L189" s="13">
        <f t="shared" si="9"/>
        <v>0</v>
      </c>
      <c r="M189" s="10">
        <v>45078.0</v>
      </c>
      <c r="N189" s="14">
        <v>46172.0</v>
      </c>
      <c r="O189" s="10">
        <v>46172.0</v>
      </c>
      <c r="P189" s="10">
        <f t="shared" si="4"/>
        <v>0</v>
      </c>
      <c r="Q189" s="10">
        <v>0.0</v>
      </c>
      <c r="R189" s="10">
        <f t="shared" si="5"/>
        <v>0</v>
      </c>
      <c r="S189" s="10">
        <f t="shared" si="6"/>
        <v>36.46666667</v>
      </c>
      <c r="T189" s="10">
        <v>36.0</v>
      </c>
      <c r="U189" s="10">
        <f t="shared" si="10"/>
        <v>90000</v>
      </c>
    </row>
    <row r="190" ht="14.25" customHeight="1">
      <c r="A190" s="21" t="s">
        <v>107</v>
      </c>
      <c r="B190" s="1">
        <v>30000.0</v>
      </c>
      <c r="C190" s="1">
        <v>100000.0</v>
      </c>
      <c r="D190" s="8">
        <v>189.0</v>
      </c>
      <c r="E190" s="22" t="s">
        <v>382</v>
      </c>
      <c r="F190" s="8" t="s">
        <v>383</v>
      </c>
      <c r="G190" s="11">
        <v>15000.0</v>
      </c>
      <c r="H190" s="10">
        <f t="shared" si="8"/>
        <v>6</v>
      </c>
      <c r="I190" s="10">
        <f t="shared" si="2"/>
        <v>-5.8</v>
      </c>
      <c r="J190" s="19"/>
      <c r="K190" s="19"/>
      <c r="L190" s="13">
        <f t="shared" si="9"/>
        <v>12</v>
      </c>
      <c r="M190" s="10">
        <v>45078.0</v>
      </c>
      <c r="N190" s="14">
        <v>45566.0</v>
      </c>
      <c r="O190" s="10">
        <v>46172.0</v>
      </c>
      <c r="P190" s="10">
        <f t="shared" si="4"/>
        <v>20.2</v>
      </c>
      <c r="Q190" s="8">
        <v>8.0</v>
      </c>
      <c r="R190" s="10">
        <f t="shared" si="5"/>
        <v>12.2</v>
      </c>
      <c r="S190" s="10">
        <f t="shared" si="6"/>
        <v>16.26666667</v>
      </c>
      <c r="T190" s="10">
        <v>16.0</v>
      </c>
      <c r="U190" s="10">
        <f t="shared" si="10"/>
        <v>40000</v>
      </c>
    </row>
    <row r="191" ht="14.25" customHeight="1">
      <c r="A191" s="1" t="s">
        <v>18</v>
      </c>
      <c r="B191" s="1">
        <v>30000.0</v>
      </c>
      <c r="C191" s="1">
        <v>100000.0</v>
      </c>
      <c r="D191" s="8">
        <v>190.0</v>
      </c>
      <c r="E191" s="9" t="s">
        <v>384</v>
      </c>
      <c r="F191" s="10" t="s">
        <v>385</v>
      </c>
      <c r="G191" s="11">
        <v>15000.0</v>
      </c>
      <c r="H191" s="10">
        <f t="shared" si="8"/>
        <v>6</v>
      </c>
      <c r="I191" s="10">
        <f t="shared" si="2"/>
        <v>6.466666667</v>
      </c>
      <c r="J191" s="12">
        <v>15000.0</v>
      </c>
      <c r="K191" s="13"/>
      <c r="L191" s="13">
        <f t="shared" si="9"/>
        <v>12</v>
      </c>
      <c r="M191" s="10">
        <v>45078.0</v>
      </c>
      <c r="N191" s="14">
        <v>45078.0</v>
      </c>
      <c r="O191" s="10">
        <v>46172.0</v>
      </c>
      <c r="P191" s="10">
        <f t="shared" si="4"/>
        <v>36.46666667</v>
      </c>
      <c r="Q191" s="10">
        <v>12.0</v>
      </c>
      <c r="R191" s="10">
        <f t="shared" si="5"/>
        <v>24.46666667</v>
      </c>
      <c r="S191" s="10">
        <f t="shared" si="6"/>
        <v>0</v>
      </c>
      <c r="T191" s="10"/>
      <c r="U191" s="10">
        <f t="shared" si="10"/>
        <v>0</v>
      </c>
    </row>
    <row r="192" ht="14.25" customHeight="1">
      <c r="A192" s="1" t="s">
        <v>18</v>
      </c>
      <c r="B192" s="1">
        <v>30000.0</v>
      </c>
      <c r="C192" s="1">
        <v>100000.0</v>
      </c>
      <c r="D192" s="8">
        <v>191.0</v>
      </c>
      <c r="E192" s="9" t="s">
        <v>386</v>
      </c>
      <c r="F192" s="8" t="s">
        <v>387</v>
      </c>
      <c r="G192" s="11">
        <v>15000.0</v>
      </c>
      <c r="H192" s="10">
        <f t="shared" si="8"/>
        <v>6</v>
      </c>
      <c r="I192" s="10">
        <f t="shared" si="2"/>
        <v>6.466666667</v>
      </c>
      <c r="J192" s="12">
        <v>15000.0</v>
      </c>
      <c r="K192" s="19"/>
      <c r="L192" s="13">
        <f t="shared" si="9"/>
        <v>12</v>
      </c>
      <c r="M192" s="10">
        <v>45078.0</v>
      </c>
      <c r="N192" s="14">
        <v>45078.0</v>
      </c>
      <c r="O192" s="10">
        <v>46172.0</v>
      </c>
      <c r="P192" s="10">
        <f t="shared" si="4"/>
        <v>36.46666667</v>
      </c>
      <c r="Q192" s="10">
        <v>12.0</v>
      </c>
      <c r="R192" s="10">
        <f t="shared" si="5"/>
        <v>24.46666667</v>
      </c>
      <c r="S192" s="10">
        <f t="shared" si="6"/>
        <v>0</v>
      </c>
      <c r="T192" s="10"/>
      <c r="U192" s="10">
        <f t="shared" si="10"/>
        <v>0</v>
      </c>
    </row>
    <row r="193" ht="14.25" customHeight="1">
      <c r="A193" s="21" t="s">
        <v>107</v>
      </c>
      <c r="B193" s="1">
        <v>30000.0</v>
      </c>
      <c r="C193" s="1">
        <v>100000.0</v>
      </c>
      <c r="D193" s="8">
        <v>192.0</v>
      </c>
      <c r="E193" s="22" t="s">
        <v>388</v>
      </c>
      <c r="F193" s="8" t="s">
        <v>389</v>
      </c>
      <c r="G193" s="8"/>
      <c r="H193" s="10">
        <f t="shared" si="8"/>
        <v>0</v>
      </c>
      <c r="I193" s="10">
        <f t="shared" si="2"/>
        <v>2.3</v>
      </c>
      <c r="J193" s="12">
        <v>5000.0</v>
      </c>
      <c r="K193" s="19"/>
      <c r="L193" s="13">
        <f t="shared" si="9"/>
        <v>12</v>
      </c>
      <c r="M193" s="10">
        <v>45078.0</v>
      </c>
      <c r="N193" s="14">
        <v>45383.0</v>
      </c>
      <c r="O193" s="10">
        <v>46172.0</v>
      </c>
      <c r="P193" s="10">
        <f t="shared" si="4"/>
        <v>26.3</v>
      </c>
      <c r="Q193" s="10">
        <v>12.0</v>
      </c>
      <c r="R193" s="10">
        <f t="shared" si="5"/>
        <v>14.3</v>
      </c>
      <c r="S193" s="10">
        <f t="shared" si="6"/>
        <v>10.16666667</v>
      </c>
      <c r="T193" s="10">
        <v>10.0</v>
      </c>
      <c r="U193" s="10">
        <f t="shared" si="10"/>
        <v>25000</v>
      </c>
    </row>
    <row r="194" ht="14.25" customHeight="1">
      <c r="A194" s="1" t="s">
        <v>18</v>
      </c>
      <c r="B194" s="1">
        <v>30000.0</v>
      </c>
      <c r="C194" s="1">
        <v>100000.0</v>
      </c>
      <c r="D194" s="8">
        <v>193.0</v>
      </c>
      <c r="E194" s="9" t="s">
        <v>390</v>
      </c>
      <c r="F194" s="8" t="s">
        <v>391</v>
      </c>
      <c r="G194" s="11">
        <v>15000.0</v>
      </c>
      <c r="H194" s="10">
        <f t="shared" si="8"/>
        <v>6</v>
      </c>
      <c r="I194" s="10">
        <f t="shared" si="2"/>
        <v>6.466666667</v>
      </c>
      <c r="J194" s="12">
        <v>15000.0</v>
      </c>
      <c r="K194" s="19"/>
      <c r="L194" s="13">
        <f t="shared" si="9"/>
        <v>12</v>
      </c>
      <c r="M194" s="10">
        <v>45078.0</v>
      </c>
      <c r="N194" s="14">
        <v>45078.0</v>
      </c>
      <c r="O194" s="10">
        <v>46172.0</v>
      </c>
      <c r="P194" s="10">
        <f t="shared" si="4"/>
        <v>36.46666667</v>
      </c>
      <c r="Q194" s="10">
        <v>12.0</v>
      </c>
      <c r="R194" s="10">
        <f t="shared" si="5"/>
        <v>24.46666667</v>
      </c>
      <c r="S194" s="10">
        <f t="shared" si="6"/>
        <v>0</v>
      </c>
      <c r="T194" s="10"/>
      <c r="U194" s="10">
        <f t="shared" si="10"/>
        <v>0</v>
      </c>
    </row>
    <row r="195" ht="14.25" customHeight="1">
      <c r="A195" s="1" t="s">
        <v>18</v>
      </c>
      <c r="B195" s="1">
        <v>30000.0</v>
      </c>
      <c r="C195" s="1">
        <v>100000.0</v>
      </c>
      <c r="D195" s="8">
        <v>194.0</v>
      </c>
      <c r="E195" s="9" t="s">
        <v>392</v>
      </c>
      <c r="F195" s="10" t="s">
        <v>393</v>
      </c>
      <c r="G195" s="17">
        <v>15000.0</v>
      </c>
      <c r="H195" s="10">
        <f t="shared" si="8"/>
        <v>6</v>
      </c>
      <c r="I195" s="10">
        <f t="shared" si="2"/>
        <v>6.466666667</v>
      </c>
      <c r="J195" s="12">
        <v>15000.0</v>
      </c>
      <c r="K195" s="13"/>
      <c r="L195" s="13">
        <f t="shared" si="9"/>
        <v>12</v>
      </c>
      <c r="M195" s="10">
        <v>45078.0</v>
      </c>
      <c r="N195" s="14">
        <v>45078.0</v>
      </c>
      <c r="O195" s="10">
        <v>46172.0</v>
      </c>
      <c r="P195" s="10">
        <f t="shared" si="4"/>
        <v>36.46666667</v>
      </c>
      <c r="Q195" s="10">
        <v>12.0</v>
      </c>
      <c r="R195" s="10">
        <f t="shared" si="5"/>
        <v>24.46666667</v>
      </c>
      <c r="S195" s="10">
        <f t="shared" si="6"/>
        <v>0</v>
      </c>
      <c r="T195" s="10"/>
      <c r="U195" s="10">
        <f t="shared" si="10"/>
        <v>0</v>
      </c>
    </row>
    <row r="196" ht="14.25" customHeight="1">
      <c r="A196" s="1" t="s">
        <v>18</v>
      </c>
      <c r="B196" s="1">
        <v>30000.0</v>
      </c>
      <c r="C196" s="1">
        <v>100000.0</v>
      </c>
      <c r="D196" s="8">
        <v>195.0</v>
      </c>
      <c r="E196" s="9" t="s">
        <v>394</v>
      </c>
      <c r="F196" s="10" t="s">
        <v>395</v>
      </c>
      <c r="G196" s="15">
        <v>15000.0</v>
      </c>
      <c r="H196" s="10">
        <f t="shared" si="8"/>
        <v>6</v>
      </c>
      <c r="I196" s="10">
        <f t="shared" si="2"/>
        <v>6.466666667</v>
      </c>
      <c r="J196" s="12">
        <v>15000.0</v>
      </c>
      <c r="K196" s="19"/>
      <c r="L196" s="13">
        <f t="shared" si="9"/>
        <v>12</v>
      </c>
      <c r="M196" s="10">
        <v>45078.0</v>
      </c>
      <c r="N196" s="14">
        <v>45078.0</v>
      </c>
      <c r="O196" s="10">
        <v>46172.0</v>
      </c>
      <c r="P196" s="10">
        <f t="shared" si="4"/>
        <v>36.46666667</v>
      </c>
      <c r="Q196" s="10">
        <v>12.0</v>
      </c>
      <c r="R196" s="10">
        <f t="shared" si="5"/>
        <v>24.46666667</v>
      </c>
      <c r="S196" s="10">
        <f t="shared" si="6"/>
        <v>0</v>
      </c>
      <c r="T196" s="10"/>
      <c r="U196" s="10">
        <f t="shared" si="10"/>
        <v>0</v>
      </c>
    </row>
    <row r="197" ht="14.25" customHeight="1">
      <c r="A197" s="1" t="s">
        <v>18</v>
      </c>
      <c r="B197" s="1">
        <v>30000.0</v>
      </c>
      <c r="C197" s="1">
        <v>100000.0</v>
      </c>
      <c r="D197" s="8">
        <v>196.0</v>
      </c>
      <c r="E197" s="9" t="s">
        <v>396</v>
      </c>
      <c r="F197" s="8" t="s">
        <v>397</v>
      </c>
      <c r="G197" s="11">
        <v>15000.0</v>
      </c>
      <c r="H197" s="10">
        <f t="shared" si="8"/>
        <v>6</v>
      </c>
      <c r="I197" s="10">
        <f t="shared" si="2"/>
        <v>6.466666667</v>
      </c>
      <c r="J197" s="12">
        <v>15000.0</v>
      </c>
      <c r="K197" s="19"/>
      <c r="L197" s="13">
        <f t="shared" si="9"/>
        <v>12</v>
      </c>
      <c r="M197" s="10">
        <v>45078.0</v>
      </c>
      <c r="N197" s="14">
        <v>45078.0</v>
      </c>
      <c r="O197" s="10">
        <v>46172.0</v>
      </c>
      <c r="P197" s="10">
        <f t="shared" si="4"/>
        <v>36.46666667</v>
      </c>
      <c r="Q197" s="10">
        <v>12.0</v>
      </c>
      <c r="R197" s="10">
        <f t="shared" si="5"/>
        <v>24.46666667</v>
      </c>
      <c r="S197" s="10">
        <f t="shared" si="6"/>
        <v>0</v>
      </c>
      <c r="T197" s="10"/>
      <c r="U197" s="10">
        <f t="shared" si="10"/>
        <v>0</v>
      </c>
    </row>
    <row r="198" ht="14.25" customHeight="1">
      <c r="A198" s="21" t="s">
        <v>122</v>
      </c>
      <c r="B198" s="1"/>
      <c r="C198" s="1"/>
      <c r="D198" s="8">
        <v>197.0</v>
      </c>
      <c r="E198" s="8" t="s">
        <v>398</v>
      </c>
      <c r="F198" s="10"/>
      <c r="G198" s="10"/>
      <c r="H198" s="10">
        <f t="shared" si="8"/>
        <v>0</v>
      </c>
      <c r="I198" s="10">
        <f t="shared" si="2"/>
        <v>0</v>
      </c>
      <c r="J198" s="13"/>
      <c r="K198" s="13"/>
      <c r="L198" s="13">
        <f t="shared" si="9"/>
        <v>0</v>
      </c>
      <c r="M198" s="10">
        <v>45078.0</v>
      </c>
      <c r="N198" s="14">
        <v>46172.0</v>
      </c>
      <c r="O198" s="10">
        <v>46172.0</v>
      </c>
      <c r="P198" s="10">
        <f t="shared" si="4"/>
        <v>0</v>
      </c>
      <c r="Q198" s="10">
        <v>0.0</v>
      </c>
      <c r="R198" s="10">
        <f t="shared" si="5"/>
        <v>0</v>
      </c>
      <c r="S198" s="10">
        <f t="shared" si="6"/>
        <v>36.46666667</v>
      </c>
      <c r="T198" s="10">
        <v>36.0</v>
      </c>
      <c r="U198" s="10">
        <f t="shared" si="10"/>
        <v>90000</v>
      </c>
    </row>
    <row r="199" ht="14.25" customHeight="1">
      <c r="A199" s="1" t="s">
        <v>18</v>
      </c>
      <c r="B199" s="1">
        <v>30000.0</v>
      </c>
      <c r="C199" s="1">
        <v>100000.0</v>
      </c>
      <c r="D199" s="8">
        <v>198.0</v>
      </c>
      <c r="E199" s="9" t="s">
        <v>399</v>
      </c>
      <c r="F199" s="8" t="s">
        <v>400</v>
      </c>
      <c r="G199" s="11">
        <v>15000.0</v>
      </c>
      <c r="H199" s="10">
        <f t="shared" si="8"/>
        <v>6</v>
      </c>
      <c r="I199" s="10">
        <f t="shared" si="2"/>
        <v>6.466666667</v>
      </c>
      <c r="J199" s="12">
        <v>15000.0</v>
      </c>
      <c r="K199" s="19"/>
      <c r="L199" s="13">
        <f t="shared" si="9"/>
        <v>12</v>
      </c>
      <c r="M199" s="10">
        <v>45078.0</v>
      </c>
      <c r="N199" s="14">
        <v>45078.0</v>
      </c>
      <c r="O199" s="10">
        <v>46172.0</v>
      </c>
      <c r="P199" s="10">
        <f t="shared" si="4"/>
        <v>36.46666667</v>
      </c>
      <c r="Q199" s="10">
        <v>12.0</v>
      </c>
      <c r="R199" s="10">
        <f t="shared" si="5"/>
        <v>24.46666667</v>
      </c>
      <c r="S199" s="10">
        <f t="shared" si="6"/>
        <v>0</v>
      </c>
      <c r="T199" s="10"/>
      <c r="U199" s="10">
        <f t="shared" si="10"/>
        <v>0</v>
      </c>
    </row>
    <row r="200" ht="14.25" customHeight="1">
      <c r="A200" s="1" t="s">
        <v>18</v>
      </c>
      <c r="B200" s="1">
        <v>30000.0</v>
      </c>
      <c r="C200" s="1">
        <v>100000.0</v>
      </c>
      <c r="D200" s="8">
        <v>199.0</v>
      </c>
      <c r="E200" s="9" t="s">
        <v>401</v>
      </c>
      <c r="F200" s="10" t="s">
        <v>402</v>
      </c>
      <c r="G200" s="10"/>
      <c r="H200" s="10">
        <f t="shared" si="8"/>
        <v>0</v>
      </c>
      <c r="I200" s="10">
        <f t="shared" si="2"/>
        <v>12.46666667</v>
      </c>
      <c r="J200" s="12">
        <v>30000.0</v>
      </c>
      <c r="K200" s="13"/>
      <c r="L200" s="13">
        <f t="shared" si="9"/>
        <v>12</v>
      </c>
      <c r="M200" s="10">
        <v>45078.0</v>
      </c>
      <c r="N200" s="14">
        <v>45078.0</v>
      </c>
      <c r="O200" s="10">
        <v>46172.0</v>
      </c>
      <c r="P200" s="10">
        <f t="shared" si="4"/>
        <v>36.46666667</v>
      </c>
      <c r="Q200" s="10">
        <v>12.0</v>
      </c>
      <c r="R200" s="10">
        <f t="shared" si="5"/>
        <v>24.46666667</v>
      </c>
      <c r="S200" s="10">
        <f t="shared" si="6"/>
        <v>0</v>
      </c>
      <c r="T200" s="10"/>
      <c r="U200" s="10">
        <f t="shared" si="10"/>
        <v>0</v>
      </c>
    </row>
    <row r="201" ht="14.25" customHeight="1">
      <c r="A201" s="1" t="s">
        <v>18</v>
      </c>
      <c r="B201" s="1">
        <v>30000.0</v>
      </c>
      <c r="C201" s="1">
        <v>100000.0</v>
      </c>
      <c r="D201" s="8">
        <v>200.0</v>
      </c>
      <c r="E201" s="9" t="s">
        <v>403</v>
      </c>
      <c r="F201" s="8" t="s">
        <v>404</v>
      </c>
      <c r="G201" s="11">
        <v>15000.0</v>
      </c>
      <c r="H201" s="10">
        <f t="shared" si="8"/>
        <v>6</v>
      </c>
      <c r="I201" s="10">
        <f t="shared" si="2"/>
        <v>6.466666667</v>
      </c>
      <c r="J201" s="12">
        <v>15000.0</v>
      </c>
      <c r="K201" s="19"/>
      <c r="L201" s="13">
        <f t="shared" si="9"/>
        <v>12</v>
      </c>
      <c r="M201" s="10">
        <v>45078.0</v>
      </c>
      <c r="N201" s="14">
        <v>45078.0</v>
      </c>
      <c r="O201" s="10">
        <v>46172.0</v>
      </c>
      <c r="P201" s="10">
        <f t="shared" si="4"/>
        <v>36.46666667</v>
      </c>
      <c r="Q201" s="10">
        <v>12.0</v>
      </c>
      <c r="R201" s="10">
        <f t="shared" si="5"/>
        <v>24.46666667</v>
      </c>
      <c r="S201" s="10">
        <f t="shared" si="6"/>
        <v>0</v>
      </c>
      <c r="T201" s="10"/>
      <c r="U201" s="10">
        <f t="shared" si="10"/>
        <v>0</v>
      </c>
    </row>
    <row r="202" ht="14.25" customHeight="1">
      <c r="A202" s="1" t="s">
        <v>18</v>
      </c>
      <c r="B202" s="1">
        <v>30000.0</v>
      </c>
      <c r="C202" s="1">
        <v>100000.0</v>
      </c>
      <c r="D202" s="8">
        <v>201.0</v>
      </c>
      <c r="E202" s="9" t="s">
        <v>405</v>
      </c>
      <c r="F202" s="8" t="s">
        <v>406</v>
      </c>
      <c r="G202" s="11">
        <v>15000.0</v>
      </c>
      <c r="H202" s="10">
        <f t="shared" si="8"/>
        <v>6</v>
      </c>
      <c r="I202" s="10">
        <f t="shared" si="2"/>
        <v>6.466666667</v>
      </c>
      <c r="J202" s="12">
        <v>15000.0</v>
      </c>
      <c r="K202" s="19"/>
      <c r="L202" s="13">
        <f t="shared" si="9"/>
        <v>12</v>
      </c>
      <c r="M202" s="10">
        <v>45078.0</v>
      </c>
      <c r="N202" s="14">
        <v>45078.0</v>
      </c>
      <c r="O202" s="10">
        <v>46172.0</v>
      </c>
      <c r="P202" s="10">
        <f t="shared" si="4"/>
        <v>36.46666667</v>
      </c>
      <c r="Q202" s="10">
        <v>12.0</v>
      </c>
      <c r="R202" s="10">
        <f t="shared" si="5"/>
        <v>24.46666667</v>
      </c>
      <c r="S202" s="10">
        <f t="shared" si="6"/>
        <v>0</v>
      </c>
      <c r="T202" s="10"/>
      <c r="U202" s="10">
        <f t="shared" si="10"/>
        <v>0</v>
      </c>
    </row>
    <row r="203" ht="14.25" customHeight="1">
      <c r="A203" s="1" t="s">
        <v>18</v>
      </c>
      <c r="B203" s="1">
        <v>30000.0</v>
      </c>
      <c r="C203" s="1">
        <v>100000.0</v>
      </c>
      <c r="D203" s="8">
        <v>202.0</v>
      </c>
      <c r="E203" s="9" t="s">
        <v>407</v>
      </c>
      <c r="F203" s="8" t="s">
        <v>408</v>
      </c>
      <c r="G203" s="11">
        <v>15000.0</v>
      </c>
      <c r="H203" s="10">
        <f t="shared" si="8"/>
        <v>6</v>
      </c>
      <c r="I203" s="10">
        <f t="shared" si="2"/>
        <v>6.466666667</v>
      </c>
      <c r="J203" s="12">
        <v>15000.0</v>
      </c>
      <c r="K203" s="19"/>
      <c r="L203" s="13">
        <f t="shared" si="9"/>
        <v>12</v>
      </c>
      <c r="M203" s="10">
        <v>45078.0</v>
      </c>
      <c r="N203" s="14">
        <v>45078.0</v>
      </c>
      <c r="O203" s="10">
        <v>46172.0</v>
      </c>
      <c r="P203" s="10">
        <f t="shared" si="4"/>
        <v>36.46666667</v>
      </c>
      <c r="Q203" s="10">
        <v>12.0</v>
      </c>
      <c r="R203" s="10">
        <f t="shared" si="5"/>
        <v>24.46666667</v>
      </c>
      <c r="S203" s="10">
        <f t="shared" si="6"/>
        <v>0</v>
      </c>
      <c r="T203" s="10"/>
      <c r="U203" s="10">
        <f t="shared" si="10"/>
        <v>0</v>
      </c>
    </row>
    <row r="204" ht="14.25" customHeight="1">
      <c r="A204" s="1" t="s">
        <v>18</v>
      </c>
      <c r="B204" s="1">
        <v>30000.0</v>
      </c>
      <c r="C204" s="1">
        <v>100000.0</v>
      </c>
      <c r="D204" s="8">
        <v>203.0</v>
      </c>
      <c r="E204" s="9" t="s">
        <v>409</v>
      </c>
      <c r="F204" s="10" t="s">
        <v>410</v>
      </c>
      <c r="G204" s="11">
        <v>30000.0</v>
      </c>
      <c r="H204" s="10">
        <f t="shared" si="8"/>
        <v>12</v>
      </c>
      <c r="I204" s="10">
        <f t="shared" si="2"/>
        <v>0.4666666667</v>
      </c>
      <c r="J204" s="13"/>
      <c r="K204" s="13"/>
      <c r="L204" s="13">
        <f t="shared" si="9"/>
        <v>12</v>
      </c>
      <c r="M204" s="10">
        <v>45078.0</v>
      </c>
      <c r="N204" s="14">
        <v>45078.0</v>
      </c>
      <c r="O204" s="10">
        <v>46172.0</v>
      </c>
      <c r="P204" s="10">
        <f t="shared" si="4"/>
        <v>36.46666667</v>
      </c>
      <c r="Q204" s="10">
        <v>12.0</v>
      </c>
      <c r="R204" s="10">
        <f t="shared" si="5"/>
        <v>24.46666667</v>
      </c>
      <c r="S204" s="10">
        <f t="shared" si="6"/>
        <v>0</v>
      </c>
      <c r="T204" s="10"/>
      <c r="U204" s="10">
        <f t="shared" si="10"/>
        <v>0</v>
      </c>
    </row>
    <row r="205" ht="14.25" customHeight="1">
      <c r="A205" s="1" t="s">
        <v>18</v>
      </c>
      <c r="B205" s="1">
        <v>30000.0</v>
      </c>
      <c r="C205" s="1">
        <v>100000.0</v>
      </c>
      <c r="D205" s="8">
        <v>204.0</v>
      </c>
      <c r="E205" s="9" t="s">
        <v>411</v>
      </c>
      <c r="F205" s="10" t="s">
        <v>412</v>
      </c>
      <c r="G205" s="11">
        <v>15000.0</v>
      </c>
      <c r="H205" s="10">
        <f t="shared" si="8"/>
        <v>6</v>
      </c>
      <c r="I205" s="10">
        <f t="shared" si="2"/>
        <v>6.466666667</v>
      </c>
      <c r="J205" s="12">
        <v>15000.0</v>
      </c>
      <c r="K205" s="13"/>
      <c r="L205" s="13">
        <f t="shared" si="9"/>
        <v>12</v>
      </c>
      <c r="M205" s="10">
        <v>45078.0</v>
      </c>
      <c r="N205" s="14">
        <v>45078.0</v>
      </c>
      <c r="O205" s="10">
        <v>46172.0</v>
      </c>
      <c r="P205" s="10">
        <f t="shared" si="4"/>
        <v>36.46666667</v>
      </c>
      <c r="Q205" s="10">
        <v>12.0</v>
      </c>
      <c r="R205" s="10">
        <f t="shared" si="5"/>
        <v>24.46666667</v>
      </c>
      <c r="S205" s="10">
        <f t="shared" si="6"/>
        <v>0</v>
      </c>
      <c r="T205" s="10"/>
      <c r="U205" s="10">
        <f t="shared" si="10"/>
        <v>0</v>
      </c>
    </row>
    <row r="206" ht="14.25" customHeight="1">
      <c r="A206" s="1" t="s">
        <v>18</v>
      </c>
      <c r="B206" s="1">
        <v>30000.0</v>
      </c>
      <c r="C206" s="1">
        <v>100000.0</v>
      </c>
      <c r="D206" s="8">
        <v>205.0</v>
      </c>
      <c r="E206" s="9" t="s">
        <v>413</v>
      </c>
      <c r="F206" s="10" t="s">
        <v>414</v>
      </c>
      <c r="G206" s="10"/>
      <c r="H206" s="10">
        <f t="shared" si="8"/>
        <v>0</v>
      </c>
      <c r="I206" s="10">
        <f t="shared" si="2"/>
        <v>12.46666667</v>
      </c>
      <c r="J206" s="12">
        <v>30000.0</v>
      </c>
      <c r="K206" s="13"/>
      <c r="L206" s="13">
        <f t="shared" si="9"/>
        <v>12</v>
      </c>
      <c r="M206" s="10">
        <v>45078.0</v>
      </c>
      <c r="N206" s="14">
        <v>45078.0</v>
      </c>
      <c r="O206" s="10">
        <v>46172.0</v>
      </c>
      <c r="P206" s="10">
        <f t="shared" si="4"/>
        <v>36.46666667</v>
      </c>
      <c r="Q206" s="10">
        <v>12.0</v>
      </c>
      <c r="R206" s="10">
        <f t="shared" si="5"/>
        <v>24.46666667</v>
      </c>
      <c r="S206" s="10">
        <f t="shared" si="6"/>
        <v>0</v>
      </c>
      <c r="T206" s="10"/>
      <c r="U206" s="10">
        <f t="shared" si="10"/>
        <v>0</v>
      </c>
    </row>
    <row r="207" ht="14.25" customHeight="1">
      <c r="A207" s="1" t="s">
        <v>18</v>
      </c>
      <c r="B207" s="1">
        <v>30000.0</v>
      </c>
      <c r="C207" s="1">
        <v>100000.0</v>
      </c>
      <c r="D207" s="8">
        <v>206.0</v>
      </c>
      <c r="E207" s="9" t="s">
        <v>415</v>
      </c>
      <c r="F207" s="8" t="s">
        <v>416</v>
      </c>
      <c r="G207" s="11">
        <v>15000.0</v>
      </c>
      <c r="H207" s="10">
        <f t="shared" si="8"/>
        <v>6</v>
      </c>
      <c r="I207" s="10">
        <f t="shared" si="2"/>
        <v>6.466666667</v>
      </c>
      <c r="J207" s="12">
        <v>15000.0</v>
      </c>
      <c r="K207" s="13"/>
      <c r="L207" s="13">
        <f t="shared" si="9"/>
        <v>12</v>
      </c>
      <c r="M207" s="10">
        <v>45078.0</v>
      </c>
      <c r="N207" s="14">
        <v>45078.0</v>
      </c>
      <c r="O207" s="10">
        <v>46172.0</v>
      </c>
      <c r="P207" s="10">
        <f t="shared" si="4"/>
        <v>36.46666667</v>
      </c>
      <c r="Q207" s="10">
        <v>12.0</v>
      </c>
      <c r="R207" s="10">
        <f t="shared" si="5"/>
        <v>24.46666667</v>
      </c>
      <c r="S207" s="10">
        <f t="shared" si="6"/>
        <v>0</v>
      </c>
      <c r="T207" s="10"/>
      <c r="U207" s="10">
        <f t="shared" si="10"/>
        <v>0</v>
      </c>
    </row>
    <row r="208" ht="14.25" customHeight="1">
      <c r="A208" s="1" t="s">
        <v>18</v>
      </c>
      <c r="B208" s="1">
        <v>30000.0</v>
      </c>
      <c r="C208" s="1">
        <v>100000.0</v>
      </c>
      <c r="D208" s="8">
        <v>207.0</v>
      </c>
      <c r="E208" s="9" t="s">
        <v>417</v>
      </c>
      <c r="F208" s="10" t="s">
        <v>418</v>
      </c>
      <c r="G208" s="15">
        <v>15000.0</v>
      </c>
      <c r="H208" s="10">
        <f t="shared" si="8"/>
        <v>6</v>
      </c>
      <c r="I208" s="10">
        <f t="shared" si="2"/>
        <v>6.466666667</v>
      </c>
      <c r="J208" s="12">
        <v>15000.0</v>
      </c>
      <c r="K208" s="13"/>
      <c r="L208" s="13">
        <f t="shared" si="9"/>
        <v>12</v>
      </c>
      <c r="M208" s="10">
        <v>45078.0</v>
      </c>
      <c r="N208" s="14">
        <v>45078.0</v>
      </c>
      <c r="O208" s="10">
        <v>46172.0</v>
      </c>
      <c r="P208" s="10">
        <f t="shared" si="4"/>
        <v>36.46666667</v>
      </c>
      <c r="Q208" s="10">
        <v>12.0</v>
      </c>
      <c r="R208" s="10">
        <f t="shared" si="5"/>
        <v>24.46666667</v>
      </c>
      <c r="S208" s="10">
        <f t="shared" si="6"/>
        <v>0</v>
      </c>
      <c r="T208" s="10"/>
      <c r="U208" s="10">
        <f t="shared" si="10"/>
        <v>0</v>
      </c>
    </row>
    <row r="209" ht="14.25" customHeight="1">
      <c r="A209" s="1" t="s">
        <v>18</v>
      </c>
      <c r="B209" s="1">
        <v>30000.0</v>
      </c>
      <c r="C209" s="1">
        <v>100000.0</v>
      </c>
      <c r="D209" s="8">
        <v>208.0</v>
      </c>
      <c r="E209" s="9" t="s">
        <v>419</v>
      </c>
      <c r="F209" s="8" t="s">
        <v>420</v>
      </c>
      <c r="G209" s="11">
        <v>15000.0</v>
      </c>
      <c r="H209" s="10">
        <f t="shared" si="8"/>
        <v>6</v>
      </c>
      <c r="I209" s="10">
        <f t="shared" si="2"/>
        <v>6.466666667</v>
      </c>
      <c r="J209" s="12">
        <v>15000.0</v>
      </c>
      <c r="K209" s="13"/>
      <c r="L209" s="13">
        <f t="shared" si="9"/>
        <v>12</v>
      </c>
      <c r="M209" s="10">
        <v>45078.0</v>
      </c>
      <c r="N209" s="14">
        <v>45078.0</v>
      </c>
      <c r="O209" s="10">
        <v>46172.0</v>
      </c>
      <c r="P209" s="10">
        <f t="shared" si="4"/>
        <v>36.46666667</v>
      </c>
      <c r="Q209" s="10">
        <v>12.0</v>
      </c>
      <c r="R209" s="10">
        <f t="shared" si="5"/>
        <v>24.46666667</v>
      </c>
      <c r="S209" s="10">
        <f t="shared" si="6"/>
        <v>0</v>
      </c>
      <c r="T209" s="10"/>
      <c r="U209" s="10">
        <f t="shared" si="10"/>
        <v>0</v>
      </c>
    </row>
    <row r="210" ht="14.25" customHeight="1">
      <c r="A210" s="1" t="s">
        <v>18</v>
      </c>
      <c r="B210" s="1">
        <v>30000.0</v>
      </c>
      <c r="C210" s="1">
        <v>100000.0</v>
      </c>
      <c r="D210" s="8">
        <v>209.0</v>
      </c>
      <c r="E210" s="9" t="s">
        <v>421</v>
      </c>
      <c r="F210" s="8" t="s">
        <v>422</v>
      </c>
      <c r="G210" s="11">
        <v>15000.0</v>
      </c>
      <c r="H210" s="10">
        <f t="shared" si="8"/>
        <v>6</v>
      </c>
      <c r="I210" s="10">
        <f t="shared" si="2"/>
        <v>6.466666667</v>
      </c>
      <c r="J210" s="12">
        <v>15000.0</v>
      </c>
      <c r="K210" s="13"/>
      <c r="L210" s="13">
        <f t="shared" si="9"/>
        <v>12</v>
      </c>
      <c r="M210" s="10">
        <v>45078.0</v>
      </c>
      <c r="N210" s="14">
        <v>45078.0</v>
      </c>
      <c r="O210" s="10">
        <v>46172.0</v>
      </c>
      <c r="P210" s="10">
        <f t="shared" si="4"/>
        <v>36.46666667</v>
      </c>
      <c r="Q210" s="10">
        <v>12.0</v>
      </c>
      <c r="R210" s="10">
        <f t="shared" si="5"/>
        <v>24.46666667</v>
      </c>
      <c r="S210" s="10">
        <f t="shared" si="6"/>
        <v>0</v>
      </c>
      <c r="T210" s="10"/>
      <c r="U210" s="10">
        <f t="shared" si="10"/>
        <v>0</v>
      </c>
    </row>
    <row r="211" ht="14.25" customHeight="1">
      <c r="A211" s="1" t="s">
        <v>18</v>
      </c>
      <c r="B211" s="1">
        <v>30000.0</v>
      </c>
      <c r="C211" s="1">
        <v>100000.0</v>
      </c>
      <c r="D211" s="8">
        <v>210.0</v>
      </c>
      <c r="E211" s="9" t="s">
        <v>423</v>
      </c>
      <c r="F211" s="8" t="s">
        <v>424</v>
      </c>
      <c r="G211" s="11">
        <v>15000.0</v>
      </c>
      <c r="H211" s="10">
        <f t="shared" si="8"/>
        <v>6</v>
      </c>
      <c r="I211" s="10">
        <f t="shared" si="2"/>
        <v>6.466666667</v>
      </c>
      <c r="J211" s="12">
        <v>15000.0</v>
      </c>
      <c r="K211" s="13"/>
      <c r="L211" s="13">
        <f t="shared" si="9"/>
        <v>12</v>
      </c>
      <c r="M211" s="10">
        <v>45078.0</v>
      </c>
      <c r="N211" s="14">
        <v>45078.0</v>
      </c>
      <c r="O211" s="10">
        <v>46172.0</v>
      </c>
      <c r="P211" s="10">
        <f t="shared" si="4"/>
        <v>36.46666667</v>
      </c>
      <c r="Q211" s="10">
        <v>12.0</v>
      </c>
      <c r="R211" s="10">
        <f t="shared" si="5"/>
        <v>24.46666667</v>
      </c>
      <c r="S211" s="10">
        <f t="shared" si="6"/>
        <v>0</v>
      </c>
      <c r="T211" s="10"/>
      <c r="U211" s="10">
        <f t="shared" si="10"/>
        <v>0</v>
      </c>
    </row>
    <row r="212" ht="14.25" customHeight="1">
      <c r="A212" s="21" t="s">
        <v>107</v>
      </c>
      <c r="B212" s="1">
        <v>30000.0</v>
      </c>
      <c r="C212" s="1">
        <v>100000.0</v>
      </c>
      <c r="D212" s="8">
        <v>211.0</v>
      </c>
      <c r="E212" s="22" t="s">
        <v>425</v>
      </c>
      <c r="F212" s="8" t="s">
        <v>426</v>
      </c>
      <c r="G212" s="11">
        <v>15000.0</v>
      </c>
      <c r="H212" s="10">
        <f t="shared" si="8"/>
        <v>6</v>
      </c>
      <c r="I212" s="10">
        <f t="shared" si="2"/>
        <v>5.466666667</v>
      </c>
      <c r="J212" s="12">
        <v>12500.0</v>
      </c>
      <c r="K212" s="19"/>
      <c r="L212" s="13">
        <f t="shared" si="9"/>
        <v>12</v>
      </c>
      <c r="M212" s="10">
        <v>45078.0</v>
      </c>
      <c r="N212" s="14">
        <v>45108.0</v>
      </c>
      <c r="O212" s="10">
        <v>46172.0</v>
      </c>
      <c r="P212" s="10">
        <f t="shared" si="4"/>
        <v>35.46666667</v>
      </c>
      <c r="Q212" s="10">
        <v>12.0</v>
      </c>
      <c r="R212" s="10">
        <f t="shared" si="5"/>
        <v>23.46666667</v>
      </c>
      <c r="S212" s="10">
        <f t="shared" si="6"/>
        <v>1</v>
      </c>
      <c r="T212" s="10">
        <v>1.0</v>
      </c>
      <c r="U212" s="10">
        <f t="shared" si="10"/>
        <v>2500</v>
      </c>
    </row>
    <row r="213" ht="14.25" customHeight="1">
      <c r="A213" s="21" t="s">
        <v>107</v>
      </c>
      <c r="B213" s="1">
        <v>30000.0</v>
      </c>
      <c r="C213" s="1">
        <v>100000.0</v>
      </c>
      <c r="D213" s="8">
        <v>212.0</v>
      </c>
      <c r="E213" s="22" t="s">
        <v>427</v>
      </c>
      <c r="F213" s="8" t="s">
        <v>428</v>
      </c>
      <c r="G213" s="8"/>
      <c r="H213" s="10">
        <f t="shared" si="8"/>
        <v>0</v>
      </c>
      <c r="I213" s="10">
        <f t="shared" si="2"/>
        <v>0.2666666667</v>
      </c>
      <c r="J213" s="19"/>
      <c r="K213" s="19"/>
      <c r="L213" s="13">
        <f t="shared" si="9"/>
        <v>12</v>
      </c>
      <c r="M213" s="10">
        <v>45078.0</v>
      </c>
      <c r="N213" s="14">
        <v>45474.0</v>
      </c>
      <c r="O213" s="10">
        <v>46172.0</v>
      </c>
      <c r="P213" s="10">
        <f t="shared" si="4"/>
        <v>23.26666667</v>
      </c>
      <c r="Q213" s="8">
        <v>11.0</v>
      </c>
      <c r="R213" s="10">
        <f t="shared" si="5"/>
        <v>12.26666667</v>
      </c>
      <c r="S213" s="10">
        <f t="shared" si="6"/>
        <v>13.2</v>
      </c>
      <c r="T213" s="10">
        <v>13.0</v>
      </c>
      <c r="U213" s="10">
        <f t="shared" si="10"/>
        <v>32500</v>
      </c>
    </row>
    <row r="214" ht="14.25" customHeight="1">
      <c r="A214" s="21" t="s">
        <v>122</v>
      </c>
      <c r="B214" s="1"/>
      <c r="C214" s="1"/>
      <c r="D214" s="8">
        <v>213.0</v>
      </c>
      <c r="E214" s="8" t="s">
        <v>429</v>
      </c>
      <c r="F214" s="10"/>
      <c r="G214" s="10"/>
      <c r="H214" s="10">
        <f t="shared" si="8"/>
        <v>0</v>
      </c>
      <c r="I214" s="10">
        <f t="shared" si="2"/>
        <v>0</v>
      </c>
      <c r="J214" s="13"/>
      <c r="K214" s="13"/>
      <c r="L214" s="13">
        <f t="shared" si="9"/>
        <v>0</v>
      </c>
      <c r="M214" s="10">
        <v>45078.0</v>
      </c>
      <c r="N214" s="14">
        <v>46172.0</v>
      </c>
      <c r="O214" s="10">
        <v>46172.0</v>
      </c>
      <c r="P214" s="10">
        <f t="shared" si="4"/>
        <v>0</v>
      </c>
      <c r="Q214" s="10">
        <v>0.0</v>
      </c>
      <c r="R214" s="10">
        <f t="shared" si="5"/>
        <v>0</v>
      </c>
      <c r="S214" s="10">
        <f t="shared" si="6"/>
        <v>36.46666667</v>
      </c>
      <c r="T214" s="10">
        <v>36.0</v>
      </c>
      <c r="U214" s="10">
        <f t="shared" si="10"/>
        <v>90000</v>
      </c>
    </row>
    <row r="215" ht="14.25" customHeight="1">
      <c r="A215" s="1" t="s">
        <v>18</v>
      </c>
      <c r="B215" s="1">
        <v>30000.0</v>
      </c>
      <c r="C215" s="1">
        <v>100000.0</v>
      </c>
      <c r="D215" s="8">
        <v>214.0</v>
      </c>
      <c r="E215" s="9" t="s">
        <v>430</v>
      </c>
      <c r="F215" s="8" t="s">
        <v>431</v>
      </c>
      <c r="G215" s="11">
        <v>15000.0</v>
      </c>
      <c r="H215" s="10">
        <f t="shared" si="8"/>
        <v>6</v>
      </c>
      <c r="I215" s="10">
        <f t="shared" si="2"/>
        <v>6.466666667</v>
      </c>
      <c r="J215" s="12">
        <v>15000.0</v>
      </c>
      <c r="K215" s="19"/>
      <c r="L215" s="13">
        <f t="shared" si="9"/>
        <v>12</v>
      </c>
      <c r="M215" s="10">
        <v>45078.0</v>
      </c>
      <c r="N215" s="14">
        <v>45078.0</v>
      </c>
      <c r="O215" s="10">
        <v>46172.0</v>
      </c>
      <c r="P215" s="10">
        <f t="shared" si="4"/>
        <v>36.46666667</v>
      </c>
      <c r="Q215" s="10">
        <v>12.0</v>
      </c>
      <c r="R215" s="10">
        <f t="shared" si="5"/>
        <v>24.46666667</v>
      </c>
      <c r="S215" s="10">
        <f t="shared" si="6"/>
        <v>0</v>
      </c>
      <c r="T215" s="10"/>
      <c r="U215" s="10">
        <f t="shared" si="10"/>
        <v>0</v>
      </c>
    </row>
    <row r="216" ht="14.25" customHeight="1">
      <c r="A216" s="1" t="s">
        <v>18</v>
      </c>
      <c r="B216" s="1">
        <v>30000.0</v>
      </c>
      <c r="C216" s="1">
        <v>100000.0</v>
      </c>
      <c r="D216" s="8">
        <v>215.0</v>
      </c>
      <c r="E216" s="9" t="s">
        <v>432</v>
      </c>
      <c r="F216" s="8" t="s">
        <v>433</v>
      </c>
      <c r="G216" s="11">
        <v>15000.0</v>
      </c>
      <c r="H216" s="10">
        <f t="shared" si="8"/>
        <v>6</v>
      </c>
      <c r="I216" s="10">
        <f t="shared" si="2"/>
        <v>6.466666667</v>
      </c>
      <c r="J216" s="12">
        <v>15000.0</v>
      </c>
      <c r="K216" s="19"/>
      <c r="L216" s="13">
        <f t="shared" si="9"/>
        <v>12</v>
      </c>
      <c r="M216" s="10">
        <v>45078.0</v>
      </c>
      <c r="N216" s="14">
        <v>45078.0</v>
      </c>
      <c r="O216" s="10">
        <v>46172.0</v>
      </c>
      <c r="P216" s="10">
        <f t="shared" si="4"/>
        <v>36.46666667</v>
      </c>
      <c r="Q216" s="10">
        <v>12.0</v>
      </c>
      <c r="R216" s="10">
        <f t="shared" si="5"/>
        <v>24.46666667</v>
      </c>
      <c r="S216" s="10">
        <f t="shared" si="6"/>
        <v>0</v>
      </c>
      <c r="T216" s="10"/>
      <c r="U216" s="10">
        <f t="shared" si="10"/>
        <v>0</v>
      </c>
    </row>
    <row r="217" ht="14.25" customHeight="1">
      <c r="A217" s="1" t="s">
        <v>18</v>
      </c>
      <c r="B217" s="1">
        <v>30000.0</v>
      </c>
      <c r="C217" s="1">
        <v>100000.0</v>
      </c>
      <c r="D217" s="8">
        <v>216.0</v>
      </c>
      <c r="E217" s="9" t="s">
        <v>434</v>
      </c>
      <c r="F217" s="8" t="s">
        <v>435</v>
      </c>
      <c r="G217" s="11">
        <v>15000.0</v>
      </c>
      <c r="H217" s="10">
        <f t="shared" si="8"/>
        <v>6</v>
      </c>
      <c r="I217" s="10">
        <f t="shared" si="2"/>
        <v>6.466666667</v>
      </c>
      <c r="J217" s="12">
        <v>15000.0</v>
      </c>
      <c r="K217" s="19"/>
      <c r="L217" s="13">
        <f t="shared" si="9"/>
        <v>12</v>
      </c>
      <c r="M217" s="10">
        <v>45078.0</v>
      </c>
      <c r="N217" s="14">
        <v>45078.0</v>
      </c>
      <c r="O217" s="10">
        <v>46172.0</v>
      </c>
      <c r="P217" s="10">
        <f t="shared" si="4"/>
        <v>36.46666667</v>
      </c>
      <c r="Q217" s="10">
        <v>12.0</v>
      </c>
      <c r="R217" s="10">
        <f t="shared" si="5"/>
        <v>24.46666667</v>
      </c>
      <c r="S217" s="10">
        <f t="shared" si="6"/>
        <v>0</v>
      </c>
      <c r="T217" s="10"/>
      <c r="U217" s="10">
        <f t="shared" si="10"/>
        <v>0</v>
      </c>
    </row>
    <row r="218" ht="14.25" customHeight="1">
      <c r="A218" s="1" t="s">
        <v>18</v>
      </c>
      <c r="B218" s="1">
        <v>30000.0</v>
      </c>
      <c r="C218" s="1">
        <v>100000.0</v>
      </c>
      <c r="D218" s="8">
        <v>217.0</v>
      </c>
      <c r="E218" s="9" t="s">
        <v>436</v>
      </c>
      <c r="F218" s="8" t="s">
        <v>437</v>
      </c>
      <c r="G218" s="11">
        <v>15000.0</v>
      </c>
      <c r="H218" s="10">
        <f t="shared" si="8"/>
        <v>6</v>
      </c>
      <c r="I218" s="10">
        <f t="shared" si="2"/>
        <v>6.466666667</v>
      </c>
      <c r="J218" s="12">
        <v>15000.0</v>
      </c>
      <c r="K218" s="19"/>
      <c r="L218" s="13">
        <f t="shared" si="9"/>
        <v>12</v>
      </c>
      <c r="M218" s="10">
        <v>45078.0</v>
      </c>
      <c r="N218" s="14">
        <v>45078.0</v>
      </c>
      <c r="O218" s="10">
        <v>46172.0</v>
      </c>
      <c r="P218" s="10">
        <f t="shared" si="4"/>
        <v>36.46666667</v>
      </c>
      <c r="Q218" s="10">
        <v>12.0</v>
      </c>
      <c r="R218" s="10">
        <f t="shared" si="5"/>
        <v>24.46666667</v>
      </c>
      <c r="S218" s="10">
        <f t="shared" si="6"/>
        <v>0</v>
      </c>
      <c r="T218" s="10"/>
      <c r="U218" s="10">
        <f t="shared" si="10"/>
        <v>0</v>
      </c>
    </row>
    <row r="219" ht="14.25" customHeight="1">
      <c r="A219" s="1" t="s">
        <v>18</v>
      </c>
      <c r="B219" s="1">
        <v>30000.0</v>
      </c>
      <c r="C219" s="1">
        <v>100000.0</v>
      </c>
      <c r="D219" s="8">
        <v>218.0</v>
      </c>
      <c r="E219" s="9" t="s">
        <v>438</v>
      </c>
      <c r="F219" s="8" t="s">
        <v>439</v>
      </c>
      <c r="G219" s="11">
        <v>15000.0</v>
      </c>
      <c r="H219" s="10">
        <f t="shared" si="8"/>
        <v>6</v>
      </c>
      <c r="I219" s="10">
        <f t="shared" si="2"/>
        <v>6.466666667</v>
      </c>
      <c r="J219" s="12">
        <v>15000.0</v>
      </c>
      <c r="K219" s="19"/>
      <c r="L219" s="13">
        <f t="shared" si="9"/>
        <v>12</v>
      </c>
      <c r="M219" s="10">
        <v>45078.0</v>
      </c>
      <c r="N219" s="14">
        <v>45078.0</v>
      </c>
      <c r="O219" s="10">
        <v>46172.0</v>
      </c>
      <c r="P219" s="10">
        <f t="shared" si="4"/>
        <v>36.46666667</v>
      </c>
      <c r="Q219" s="10">
        <v>12.0</v>
      </c>
      <c r="R219" s="10">
        <f t="shared" si="5"/>
        <v>24.46666667</v>
      </c>
      <c r="S219" s="10">
        <f t="shared" si="6"/>
        <v>0</v>
      </c>
      <c r="T219" s="10"/>
      <c r="U219" s="10">
        <f t="shared" si="10"/>
        <v>0</v>
      </c>
    </row>
    <row r="220" ht="14.25" customHeight="1">
      <c r="A220" s="1" t="s">
        <v>18</v>
      </c>
      <c r="B220" s="1">
        <v>30000.0</v>
      </c>
      <c r="C220" s="1">
        <v>100000.0</v>
      </c>
      <c r="D220" s="8">
        <v>219.0</v>
      </c>
      <c r="E220" s="9" t="s">
        <v>440</v>
      </c>
      <c r="F220" s="8" t="s">
        <v>441</v>
      </c>
      <c r="G220" s="11">
        <v>15000.0</v>
      </c>
      <c r="H220" s="10">
        <f t="shared" si="8"/>
        <v>6</v>
      </c>
      <c r="I220" s="10">
        <f t="shared" si="2"/>
        <v>6.466666667</v>
      </c>
      <c r="J220" s="12">
        <v>15000.0</v>
      </c>
      <c r="K220" s="19"/>
      <c r="L220" s="13">
        <f t="shared" si="9"/>
        <v>12</v>
      </c>
      <c r="M220" s="10">
        <v>45078.0</v>
      </c>
      <c r="N220" s="14">
        <v>45078.0</v>
      </c>
      <c r="O220" s="10">
        <v>46172.0</v>
      </c>
      <c r="P220" s="10">
        <f t="shared" si="4"/>
        <v>36.46666667</v>
      </c>
      <c r="Q220" s="10">
        <v>12.0</v>
      </c>
      <c r="R220" s="10">
        <f t="shared" si="5"/>
        <v>24.46666667</v>
      </c>
      <c r="S220" s="10">
        <f t="shared" si="6"/>
        <v>0</v>
      </c>
      <c r="T220" s="10"/>
      <c r="U220" s="10">
        <f t="shared" si="10"/>
        <v>0</v>
      </c>
    </row>
    <row r="221" ht="14.25" customHeight="1">
      <c r="A221" s="21" t="s">
        <v>107</v>
      </c>
      <c r="B221" s="1">
        <v>30000.0</v>
      </c>
      <c r="C221" s="1">
        <v>100000.0</v>
      </c>
      <c r="D221" s="8">
        <v>220.0</v>
      </c>
      <c r="E221" s="22" t="s">
        <v>442</v>
      </c>
      <c r="F221" s="8" t="s">
        <v>443</v>
      </c>
      <c r="G221" s="11">
        <v>30000.0</v>
      </c>
      <c r="H221" s="10">
        <f t="shared" si="8"/>
        <v>12</v>
      </c>
      <c r="I221" s="10">
        <f t="shared" si="2"/>
        <v>-0.5333333333</v>
      </c>
      <c r="J221" s="19"/>
      <c r="K221" s="19"/>
      <c r="L221" s="13">
        <f t="shared" si="9"/>
        <v>12</v>
      </c>
      <c r="M221" s="10">
        <v>45078.0</v>
      </c>
      <c r="N221" s="14">
        <v>45108.0</v>
      </c>
      <c r="O221" s="10">
        <v>46172.0</v>
      </c>
      <c r="P221" s="10">
        <f t="shared" si="4"/>
        <v>35.46666667</v>
      </c>
      <c r="Q221" s="8">
        <v>12.0</v>
      </c>
      <c r="R221" s="10">
        <f t="shared" si="5"/>
        <v>23.46666667</v>
      </c>
      <c r="S221" s="10">
        <f t="shared" si="6"/>
        <v>1</v>
      </c>
      <c r="T221" s="10">
        <v>1.0</v>
      </c>
      <c r="U221" s="10">
        <f t="shared" si="10"/>
        <v>2500</v>
      </c>
    </row>
    <row r="222" ht="14.25" customHeight="1">
      <c r="A222" s="1" t="s">
        <v>18</v>
      </c>
      <c r="B222" s="1">
        <v>30000.0</v>
      </c>
      <c r="C222" s="1">
        <v>100000.0</v>
      </c>
      <c r="D222" s="8">
        <v>221.0</v>
      </c>
      <c r="E222" s="9" t="s">
        <v>444</v>
      </c>
      <c r="F222" s="8" t="s">
        <v>445</v>
      </c>
      <c r="G222" s="11">
        <v>15000.0</v>
      </c>
      <c r="H222" s="10">
        <f t="shared" si="8"/>
        <v>6</v>
      </c>
      <c r="I222" s="10">
        <f t="shared" si="2"/>
        <v>6.466666667</v>
      </c>
      <c r="J222" s="12">
        <v>15000.0</v>
      </c>
      <c r="K222" s="19"/>
      <c r="L222" s="13">
        <f t="shared" si="9"/>
        <v>12</v>
      </c>
      <c r="M222" s="10">
        <v>45078.0</v>
      </c>
      <c r="N222" s="14">
        <v>45078.0</v>
      </c>
      <c r="O222" s="10">
        <v>46172.0</v>
      </c>
      <c r="P222" s="10">
        <f t="shared" si="4"/>
        <v>36.46666667</v>
      </c>
      <c r="Q222" s="10">
        <v>12.0</v>
      </c>
      <c r="R222" s="10">
        <f t="shared" si="5"/>
        <v>24.46666667</v>
      </c>
      <c r="S222" s="10">
        <f t="shared" si="6"/>
        <v>0</v>
      </c>
      <c r="T222" s="10"/>
      <c r="U222" s="10">
        <f t="shared" si="10"/>
        <v>0</v>
      </c>
    </row>
    <row r="223" ht="14.25" customHeight="1">
      <c r="A223" s="1" t="s">
        <v>18</v>
      </c>
      <c r="B223" s="1">
        <v>60000.0</v>
      </c>
      <c r="C223" s="1">
        <v>100000.0</v>
      </c>
      <c r="D223" s="8">
        <v>222.0</v>
      </c>
      <c r="E223" s="9" t="s">
        <v>446</v>
      </c>
      <c r="F223" s="20" t="s">
        <v>447</v>
      </c>
      <c r="G223" s="11">
        <v>15000.0</v>
      </c>
      <c r="H223" s="10">
        <f t="shared" si="8"/>
        <v>6</v>
      </c>
      <c r="I223" s="10">
        <f t="shared" si="2"/>
        <v>-5.533333333</v>
      </c>
      <c r="J223" s="19"/>
      <c r="K223" s="19"/>
      <c r="L223" s="13">
        <f t="shared" si="9"/>
        <v>24</v>
      </c>
      <c r="M223" s="10">
        <v>45078.0</v>
      </c>
      <c r="N223" s="14">
        <v>45078.0</v>
      </c>
      <c r="O223" s="10">
        <v>46172.0</v>
      </c>
      <c r="P223" s="10">
        <f t="shared" si="4"/>
        <v>36.46666667</v>
      </c>
      <c r="Q223" s="10">
        <v>12.0</v>
      </c>
      <c r="R223" s="10">
        <f t="shared" si="5"/>
        <v>24.46666667</v>
      </c>
      <c r="S223" s="10">
        <f t="shared" si="6"/>
        <v>0</v>
      </c>
      <c r="T223" s="10"/>
      <c r="U223" s="10">
        <f t="shared" si="10"/>
        <v>0</v>
      </c>
    </row>
    <row r="224" ht="14.25" customHeight="1">
      <c r="A224" s="1" t="s">
        <v>18</v>
      </c>
      <c r="B224" s="1">
        <v>30000.0</v>
      </c>
      <c r="C224" s="1">
        <v>100000.0</v>
      </c>
      <c r="D224" s="8">
        <v>223.0</v>
      </c>
      <c r="E224" s="9" t="s">
        <v>448</v>
      </c>
      <c r="F224" s="10" t="s">
        <v>449</v>
      </c>
      <c r="G224" s="10"/>
      <c r="H224" s="10">
        <f t="shared" si="8"/>
        <v>0</v>
      </c>
      <c r="I224" s="10">
        <f t="shared" si="2"/>
        <v>12.46666667</v>
      </c>
      <c r="J224" s="12">
        <v>30000.0</v>
      </c>
      <c r="K224" s="13"/>
      <c r="L224" s="13">
        <f t="shared" si="9"/>
        <v>12</v>
      </c>
      <c r="M224" s="10">
        <v>45078.0</v>
      </c>
      <c r="N224" s="14">
        <v>45078.0</v>
      </c>
      <c r="O224" s="10">
        <v>46172.0</v>
      </c>
      <c r="P224" s="10">
        <f t="shared" si="4"/>
        <v>36.46666667</v>
      </c>
      <c r="Q224" s="10">
        <v>12.0</v>
      </c>
      <c r="R224" s="10">
        <f t="shared" si="5"/>
        <v>24.46666667</v>
      </c>
      <c r="S224" s="10">
        <f t="shared" si="6"/>
        <v>0</v>
      </c>
      <c r="T224" s="10"/>
      <c r="U224" s="10">
        <f t="shared" si="10"/>
        <v>0</v>
      </c>
    </row>
    <row r="225" ht="14.25" customHeight="1">
      <c r="A225" s="1" t="s">
        <v>18</v>
      </c>
      <c r="B225" s="1">
        <v>30000.0</v>
      </c>
      <c r="C225" s="1">
        <v>100000.0</v>
      </c>
      <c r="D225" s="8">
        <v>224.0</v>
      </c>
      <c r="E225" s="9" t="s">
        <v>450</v>
      </c>
      <c r="F225" s="10" t="s">
        <v>451</v>
      </c>
      <c r="G225" s="11">
        <v>15000.0</v>
      </c>
      <c r="H225" s="10">
        <f t="shared" si="8"/>
        <v>6</v>
      </c>
      <c r="I225" s="10">
        <f t="shared" si="2"/>
        <v>6.466666667</v>
      </c>
      <c r="J225" s="12">
        <v>15000.0</v>
      </c>
      <c r="K225" s="13"/>
      <c r="L225" s="13">
        <f t="shared" si="9"/>
        <v>12</v>
      </c>
      <c r="M225" s="10">
        <v>45078.0</v>
      </c>
      <c r="N225" s="14">
        <v>45078.0</v>
      </c>
      <c r="O225" s="10">
        <v>46172.0</v>
      </c>
      <c r="P225" s="10">
        <f t="shared" si="4"/>
        <v>36.46666667</v>
      </c>
      <c r="Q225" s="10">
        <v>12.0</v>
      </c>
      <c r="R225" s="10">
        <f t="shared" si="5"/>
        <v>24.46666667</v>
      </c>
      <c r="S225" s="10">
        <f t="shared" si="6"/>
        <v>0</v>
      </c>
      <c r="T225" s="10"/>
      <c r="U225" s="10">
        <f t="shared" si="10"/>
        <v>0</v>
      </c>
    </row>
    <row r="226" ht="14.25" customHeight="1">
      <c r="A226" s="1" t="s">
        <v>18</v>
      </c>
      <c r="B226" s="1">
        <v>30000.0</v>
      </c>
      <c r="C226" s="1">
        <v>100000.0</v>
      </c>
      <c r="D226" s="8">
        <v>225.0</v>
      </c>
      <c r="E226" s="9" t="s">
        <v>452</v>
      </c>
      <c r="F226" s="8" t="s">
        <v>453</v>
      </c>
      <c r="G226" s="11">
        <v>15000.0</v>
      </c>
      <c r="H226" s="10">
        <f t="shared" si="8"/>
        <v>6</v>
      </c>
      <c r="I226" s="10">
        <f t="shared" si="2"/>
        <v>6.466666667</v>
      </c>
      <c r="J226" s="12">
        <v>15000.0</v>
      </c>
      <c r="K226" s="19"/>
      <c r="L226" s="13">
        <f t="shared" si="9"/>
        <v>12</v>
      </c>
      <c r="M226" s="10">
        <v>45078.0</v>
      </c>
      <c r="N226" s="14">
        <v>45078.0</v>
      </c>
      <c r="O226" s="10">
        <v>46172.0</v>
      </c>
      <c r="P226" s="10">
        <f t="shared" si="4"/>
        <v>36.46666667</v>
      </c>
      <c r="Q226" s="10">
        <v>12.0</v>
      </c>
      <c r="R226" s="10">
        <f t="shared" si="5"/>
        <v>24.46666667</v>
      </c>
      <c r="S226" s="10">
        <f t="shared" si="6"/>
        <v>0</v>
      </c>
      <c r="T226" s="10"/>
      <c r="U226" s="10">
        <f t="shared" si="10"/>
        <v>0</v>
      </c>
    </row>
    <row r="227" ht="14.25" customHeight="1">
      <c r="A227" s="1" t="s">
        <v>18</v>
      </c>
      <c r="B227" s="1">
        <v>30000.0</v>
      </c>
      <c r="C227" s="1">
        <v>100000.0</v>
      </c>
      <c r="D227" s="8">
        <v>226.0</v>
      </c>
      <c r="E227" s="9" t="s">
        <v>454</v>
      </c>
      <c r="F227" s="8" t="s">
        <v>455</v>
      </c>
      <c r="G227" s="11">
        <v>15000.0</v>
      </c>
      <c r="H227" s="10">
        <f t="shared" si="8"/>
        <v>6</v>
      </c>
      <c r="I227" s="10">
        <f t="shared" si="2"/>
        <v>6.466666667</v>
      </c>
      <c r="J227" s="12">
        <v>15000.0</v>
      </c>
      <c r="K227" s="19"/>
      <c r="L227" s="13">
        <f t="shared" si="9"/>
        <v>12</v>
      </c>
      <c r="M227" s="10">
        <v>45078.0</v>
      </c>
      <c r="N227" s="14">
        <v>45078.0</v>
      </c>
      <c r="O227" s="10">
        <v>46172.0</v>
      </c>
      <c r="P227" s="10">
        <f t="shared" si="4"/>
        <v>36.46666667</v>
      </c>
      <c r="Q227" s="10">
        <v>12.0</v>
      </c>
      <c r="R227" s="10">
        <f t="shared" si="5"/>
        <v>24.46666667</v>
      </c>
      <c r="S227" s="10">
        <f t="shared" si="6"/>
        <v>0</v>
      </c>
      <c r="T227" s="10"/>
      <c r="U227" s="10">
        <f t="shared" si="10"/>
        <v>0</v>
      </c>
    </row>
    <row r="228" ht="14.25" customHeight="1">
      <c r="A228" s="21" t="s">
        <v>107</v>
      </c>
      <c r="B228" s="1">
        <v>30000.0</v>
      </c>
      <c r="C228" s="1">
        <v>100000.0</v>
      </c>
      <c r="D228" s="8">
        <v>227.0</v>
      </c>
      <c r="E228" s="22" t="s">
        <v>456</v>
      </c>
      <c r="F228" s="8" t="s">
        <v>457</v>
      </c>
      <c r="G228" s="8"/>
      <c r="H228" s="10">
        <f t="shared" si="8"/>
        <v>0</v>
      </c>
      <c r="I228" s="10">
        <f t="shared" si="2"/>
        <v>1.3</v>
      </c>
      <c r="J228" s="12">
        <v>2500.0</v>
      </c>
      <c r="K228" s="19"/>
      <c r="L228" s="13">
        <f t="shared" si="9"/>
        <v>12</v>
      </c>
      <c r="M228" s="10">
        <v>45078.0</v>
      </c>
      <c r="N228" s="14">
        <v>45413.0</v>
      </c>
      <c r="O228" s="10">
        <v>46172.0</v>
      </c>
      <c r="P228" s="10">
        <f t="shared" si="4"/>
        <v>25.3</v>
      </c>
      <c r="Q228" s="8">
        <v>12.0</v>
      </c>
      <c r="R228" s="10">
        <f t="shared" si="5"/>
        <v>13.3</v>
      </c>
      <c r="S228" s="10">
        <f t="shared" si="6"/>
        <v>11.16666667</v>
      </c>
      <c r="T228" s="10">
        <v>11.0</v>
      </c>
      <c r="U228" s="10">
        <f t="shared" si="10"/>
        <v>27500</v>
      </c>
    </row>
    <row r="229" ht="14.25" customHeight="1">
      <c r="A229" s="21" t="s">
        <v>107</v>
      </c>
      <c r="B229" s="1">
        <v>30000.0</v>
      </c>
      <c r="C229" s="1">
        <v>100000.0</v>
      </c>
      <c r="D229" s="8">
        <v>228.0</v>
      </c>
      <c r="E229" s="22" t="s">
        <v>458</v>
      </c>
      <c r="F229" s="8" t="s">
        <v>457</v>
      </c>
      <c r="G229" s="8"/>
      <c r="H229" s="10">
        <f t="shared" si="8"/>
        <v>0</v>
      </c>
      <c r="I229" s="10">
        <f t="shared" si="2"/>
        <v>1.3</v>
      </c>
      <c r="J229" s="12">
        <v>2500.0</v>
      </c>
      <c r="K229" s="19"/>
      <c r="L229" s="13">
        <f t="shared" si="9"/>
        <v>12</v>
      </c>
      <c r="M229" s="10">
        <v>45078.0</v>
      </c>
      <c r="N229" s="14">
        <v>45413.0</v>
      </c>
      <c r="O229" s="10">
        <v>46172.0</v>
      </c>
      <c r="P229" s="10">
        <f t="shared" si="4"/>
        <v>25.3</v>
      </c>
      <c r="Q229" s="10">
        <v>12.0</v>
      </c>
      <c r="R229" s="10">
        <f t="shared" si="5"/>
        <v>13.3</v>
      </c>
      <c r="S229" s="10">
        <f t="shared" si="6"/>
        <v>11.16666667</v>
      </c>
      <c r="T229" s="10">
        <v>11.0</v>
      </c>
      <c r="U229" s="10">
        <f t="shared" si="10"/>
        <v>27500</v>
      </c>
    </row>
    <row r="230" ht="14.25" customHeight="1">
      <c r="A230" s="1" t="s">
        <v>18</v>
      </c>
      <c r="B230" s="1">
        <v>30000.0</v>
      </c>
      <c r="C230" s="1">
        <v>100000.0</v>
      </c>
      <c r="D230" s="8">
        <v>229.0</v>
      </c>
      <c r="E230" s="9" t="s">
        <v>459</v>
      </c>
      <c r="F230" s="8" t="s">
        <v>460</v>
      </c>
      <c r="G230" s="11">
        <v>15000.0</v>
      </c>
      <c r="H230" s="10">
        <f t="shared" si="8"/>
        <v>6</v>
      </c>
      <c r="I230" s="10">
        <f t="shared" si="2"/>
        <v>6.466666667</v>
      </c>
      <c r="J230" s="12">
        <v>15000.0</v>
      </c>
      <c r="K230" s="19"/>
      <c r="L230" s="13">
        <f t="shared" si="9"/>
        <v>12</v>
      </c>
      <c r="M230" s="10">
        <v>45078.0</v>
      </c>
      <c r="N230" s="14">
        <v>45078.0</v>
      </c>
      <c r="O230" s="10">
        <v>46172.0</v>
      </c>
      <c r="P230" s="10">
        <f t="shared" si="4"/>
        <v>36.46666667</v>
      </c>
      <c r="Q230" s="10">
        <v>12.0</v>
      </c>
      <c r="R230" s="10">
        <f t="shared" si="5"/>
        <v>24.46666667</v>
      </c>
      <c r="S230" s="10">
        <f t="shared" si="6"/>
        <v>0</v>
      </c>
      <c r="T230" s="10"/>
      <c r="U230" s="10">
        <f t="shared" si="10"/>
        <v>0</v>
      </c>
    </row>
    <row r="231" ht="14.25" customHeight="1">
      <c r="A231" s="1" t="s">
        <v>18</v>
      </c>
      <c r="B231" s="1">
        <v>30000.0</v>
      </c>
      <c r="C231" s="1">
        <v>100000.0</v>
      </c>
      <c r="D231" s="8">
        <v>230.0</v>
      </c>
      <c r="E231" s="9" t="s">
        <v>461</v>
      </c>
      <c r="F231" s="8" t="s">
        <v>462</v>
      </c>
      <c r="G231" s="11">
        <v>15000.0</v>
      </c>
      <c r="H231" s="10">
        <f t="shared" si="8"/>
        <v>6</v>
      </c>
      <c r="I231" s="10">
        <f t="shared" si="2"/>
        <v>6.466666667</v>
      </c>
      <c r="J231" s="12">
        <v>15000.0</v>
      </c>
      <c r="K231" s="19"/>
      <c r="L231" s="13">
        <f t="shared" si="9"/>
        <v>12</v>
      </c>
      <c r="M231" s="10">
        <v>45078.0</v>
      </c>
      <c r="N231" s="14">
        <v>45078.0</v>
      </c>
      <c r="O231" s="10">
        <v>46172.0</v>
      </c>
      <c r="P231" s="10">
        <f t="shared" si="4"/>
        <v>36.46666667</v>
      </c>
      <c r="Q231" s="10">
        <v>12.0</v>
      </c>
      <c r="R231" s="10">
        <f t="shared" si="5"/>
        <v>24.46666667</v>
      </c>
      <c r="S231" s="10">
        <f t="shared" si="6"/>
        <v>0</v>
      </c>
      <c r="T231" s="10"/>
      <c r="U231" s="10">
        <f t="shared" si="10"/>
        <v>0</v>
      </c>
    </row>
    <row r="232" ht="14.25" customHeight="1">
      <c r="A232" s="1" t="s">
        <v>18</v>
      </c>
      <c r="B232" s="1">
        <v>30000.0</v>
      </c>
      <c r="C232" s="1">
        <v>100000.0</v>
      </c>
      <c r="D232" s="8">
        <v>231.0</v>
      </c>
      <c r="E232" s="9" t="s">
        <v>463</v>
      </c>
      <c r="F232" s="10" t="s">
        <v>464</v>
      </c>
      <c r="G232" s="10"/>
      <c r="H232" s="10">
        <f t="shared" si="8"/>
        <v>0</v>
      </c>
      <c r="I232" s="10">
        <f t="shared" si="2"/>
        <v>24.46666667</v>
      </c>
      <c r="J232" s="12">
        <v>60000.0</v>
      </c>
      <c r="K232" s="13"/>
      <c r="L232" s="13">
        <f t="shared" si="9"/>
        <v>12</v>
      </c>
      <c r="M232" s="10">
        <v>45078.0</v>
      </c>
      <c r="N232" s="14">
        <v>45078.0</v>
      </c>
      <c r="O232" s="10">
        <v>46172.0</v>
      </c>
      <c r="P232" s="10">
        <f t="shared" si="4"/>
        <v>36.46666667</v>
      </c>
      <c r="Q232" s="33">
        <v>0.0</v>
      </c>
      <c r="R232" s="10">
        <f t="shared" si="5"/>
        <v>36.46666667</v>
      </c>
      <c r="S232" s="10">
        <f t="shared" si="6"/>
        <v>0</v>
      </c>
      <c r="T232" s="10"/>
      <c r="U232" s="10">
        <f t="shared" si="10"/>
        <v>0</v>
      </c>
    </row>
    <row r="233" ht="14.25" customHeight="1">
      <c r="A233" s="1" t="s">
        <v>18</v>
      </c>
      <c r="B233" s="1">
        <v>30000.0</v>
      </c>
      <c r="C233" s="1">
        <v>100000.0</v>
      </c>
      <c r="D233" s="8">
        <v>232.0</v>
      </c>
      <c r="E233" s="9" t="s">
        <v>465</v>
      </c>
      <c r="F233" s="8" t="s">
        <v>466</v>
      </c>
      <c r="G233" s="11">
        <v>15000.0</v>
      </c>
      <c r="H233" s="10">
        <f t="shared" si="8"/>
        <v>6</v>
      </c>
      <c r="I233" s="10">
        <f t="shared" si="2"/>
        <v>6.466666667</v>
      </c>
      <c r="J233" s="12">
        <v>15000.0</v>
      </c>
      <c r="K233" s="19"/>
      <c r="L233" s="13">
        <f t="shared" si="9"/>
        <v>12</v>
      </c>
      <c r="M233" s="10">
        <v>45078.0</v>
      </c>
      <c r="N233" s="14">
        <v>45078.0</v>
      </c>
      <c r="O233" s="10">
        <v>46172.0</v>
      </c>
      <c r="P233" s="10">
        <f t="shared" si="4"/>
        <v>36.46666667</v>
      </c>
      <c r="Q233" s="10">
        <v>12.0</v>
      </c>
      <c r="R233" s="10">
        <f t="shared" si="5"/>
        <v>24.46666667</v>
      </c>
      <c r="S233" s="10">
        <f t="shared" si="6"/>
        <v>0</v>
      </c>
      <c r="T233" s="10"/>
      <c r="U233" s="10">
        <f t="shared" si="10"/>
        <v>0</v>
      </c>
    </row>
    <row r="234" ht="14.25" customHeight="1">
      <c r="A234" s="1" t="s">
        <v>18</v>
      </c>
      <c r="B234" s="1">
        <v>30000.0</v>
      </c>
      <c r="C234" s="1">
        <v>100000.0</v>
      </c>
      <c r="D234" s="8">
        <v>233.0</v>
      </c>
      <c r="E234" s="9" t="s">
        <v>467</v>
      </c>
      <c r="F234" s="8" t="s">
        <v>468</v>
      </c>
      <c r="G234" s="11">
        <v>15000.0</v>
      </c>
      <c r="H234" s="10">
        <f t="shared" si="8"/>
        <v>6</v>
      </c>
      <c r="I234" s="10">
        <f t="shared" si="2"/>
        <v>6.466666667</v>
      </c>
      <c r="J234" s="12">
        <v>15000.0</v>
      </c>
      <c r="K234" s="19"/>
      <c r="L234" s="13">
        <f t="shared" si="9"/>
        <v>12</v>
      </c>
      <c r="M234" s="10">
        <v>45078.0</v>
      </c>
      <c r="N234" s="14">
        <v>45078.0</v>
      </c>
      <c r="O234" s="10">
        <v>46172.0</v>
      </c>
      <c r="P234" s="10">
        <f t="shared" si="4"/>
        <v>36.46666667</v>
      </c>
      <c r="Q234" s="10">
        <v>12.0</v>
      </c>
      <c r="R234" s="10">
        <f t="shared" si="5"/>
        <v>24.46666667</v>
      </c>
      <c r="S234" s="10">
        <f t="shared" si="6"/>
        <v>0</v>
      </c>
      <c r="T234" s="10"/>
      <c r="U234" s="10">
        <f t="shared" si="10"/>
        <v>0</v>
      </c>
    </row>
    <row r="235" ht="14.25" customHeight="1">
      <c r="A235" s="1" t="s">
        <v>18</v>
      </c>
      <c r="B235" s="1">
        <v>30000.0</v>
      </c>
      <c r="C235" s="1">
        <v>100000.0</v>
      </c>
      <c r="D235" s="8">
        <v>234.0</v>
      </c>
      <c r="E235" s="9" t="s">
        <v>469</v>
      </c>
      <c r="F235" s="8" t="s">
        <v>470</v>
      </c>
      <c r="G235" s="11">
        <v>15000.0</v>
      </c>
      <c r="H235" s="10">
        <f t="shared" si="8"/>
        <v>6</v>
      </c>
      <c r="I235" s="10">
        <f t="shared" si="2"/>
        <v>6.466666667</v>
      </c>
      <c r="J235" s="12">
        <v>15000.0</v>
      </c>
      <c r="K235" s="19"/>
      <c r="L235" s="13">
        <f t="shared" si="9"/>
        <v>12</v>
      </c>
      <c r="M235" s="10">
        <v>45078.0</v>
      </c>
      <c r="N235" s="14">
        <v>45078.0</v>
      </c>
      <c r="O235" s="10">
        <v>46172.0</v>
      </c>
      <c r="P235" s="10">
        <f t="shared" si="4"/>
        <v>36.46666667</v>
      </c>
      <c r="Q235" s="10">
        <v>12.0</v>
      </c>
      <c r="R235" s="10">
        <f t="shared" si="5"/>
        <v>24.46666667</v>
      </c>
      <c r="S235" s="10">
        <f t="shared" si="6"/>
        <v>0</v>
      </c>
      <c r="T235" s="10"/>
      <c r="U235" s="10">
        <f t="shared" si="10"/>
        <v>0</v>
      </c>
    </row>
    <row r="236" ht="14.25" customHeight="1">
      <c r="A236" s="21" t="s">
        <v>122</v>
      </c>
      <c r="B236" s="1"/>
      <c r="C236" s="1"/>
      <c r="D236" s="8">
        <v>235.0</v>
      </c>
      <c r="E236" s="8" t="s">
        <v>471</v>
      </c>
      <c r="F236" s="10"/>
      <c r="G236" s="10"/>
      <c r="H236" s="10">
        <f t="shared" si="8"/>
        <v>0</v>
      </c>
      <c r="I236" s="10">
        <f t="shared" si="2"/>
        <v>0</v>
      </c>
      <c r="J236" s="13"/>
      <c r="K236" s="13"/>
      <c r="L236" s="13">
        <f t="shared" si="9"/>
        <v>0</v>
      </c>
      <c r="M236" s="10">
        <v>45078.0</v>
      </c>
      <c r="N236" s="14">
        <v>46172.0</v>
      </c>
      <c r="O236" s="10">
        <v>46172.0</v>
      </c>
      <c r="P236" s="10">
        <f t="shared" si="4"/>
        <v>0</v>
      </c>
      <c r="Q236" s="10">
        <v>0.0</v>
      </c>
      <c r="R236" s="10">
        <f t="shared" si="5"/>
        <v>0</v>
      </c>
      <c r="S236" s="10">
        <f t="shared" si="6"/>
        <v>36.46666667</v>
      </c>
      <c r="T236" s="10">
        <v>36.0</v>
      </c>
      <c r="U236" s="10">
        <f t="shared" si="10"/>
        <v>90000</v>
      </c>
    </row>
    <row r="237" ht="14.25" customHeight="1">
      <c r="A237" s="21" t="s">
        <v>122</v>
      </c>
      <c r="B237" s="1"/>
      <c r="C237" s="1"/>
      <c r="D237" s="8">
        <v>236.0</v>
      </c>
      <c r="E237" s="8" t="s">
        <v>472</v>
      </c>
      <c r="F237" s="10"/>
      <c r="G237" s="10"/>
      <c r="H237" s="10">
        <f t="shared" si="8"/>
        <v>0</v>
      </c>
      <c r="I237" s="10">
        <f t="shared" si="2"/>
        <v>0</v>
      </c>
      <c r="J237" s="13"/>
      <c r="K237" s="13"/>
      <c r="L237" s="13">
        <f t="shared" si="9"/>
        <v>0</v>
      </c>
      <c r="M237" s="10">
        <v>45078.0</v>
      </c>
      <c r="N237" s="14">
        <v>46172.0</v>
      </c>
      <c r="O237" s="10">
        <v>46172.0</v>
      </c>
      <c r="P237" s="10">
        <f t="shared" si="4"/>
        <v>0</v>
      </c>
      <c r="Q237" s="10">
        <v>0.0</v>
      </c>
      <c r="R237" s="10">
        <f t="shared" si="5"/>
        <v>0</v>
      </c>
      <c r="S237" s="10">
        <f t="shared" si="6"/>
        <v>36.46666667</v>
      </c>
      <c r="T237" s="10">
        <v>36.0</v>
      </c>
      <c r="U237" s="10">
        <f t="shared" si="10"/>
        <v>90000</v>
      </c>
    </row>
    <row r="238" ht="14.25" customHeight="1">
      <c r="A238" s="21" t="s">
        <v>107</v>
      </c>
      <c r="B238" s="1">
        <v>30000.0</v>
      </c>
      <c r="C238" s="1">
        <v>100000.0</v>
      </c>
      <c r="D238" s="8">
        <v>237.0</v>
      </c>
      <c r="E238" s="22" t="s">
        <v>473</v>
      </c>
      <c r="F238" s="8" t="s">
        <v>474</v>
      </c>
      <c r="G238" s="33">
        <v>15000.0</v>
      </c>
      <c r="H238" s="10">
        <f t="shared" si="8"/>
        <v>6</v>
      </c>
      <c r="I238" s="10">
        <f t="shared" si="2"/>
        <v>-5.833333333</v>
      </c>
      <c r="J238" s="19"/>
      <c r="K238" s="19"/>
      <c r="L238" s="13">
        <f t="shared" si="9"/>
        <v>12</v>
      </c>
      <c r="M238" s="10">
        <v>45078.0</v>
      </c>
      <c r="N238" s="14">
        <v>45627.0</v>
      </c>
      <c r="O238" s="10">
        <v>46172.0</v>
      </c>
      <c r="P238" s="10">
        <f t="shared" si="4"/>
        <v>18.16666667</v>
      </c>
      <c r="Q238" s="10">
        <v>6.0</v>
      </c>
      <c r="R238" s="10">
        <f t="shared" si="5"/>
        <v>12.16666667</v>
      </c>
      <c r="S238" s="10">
        <f t="shared" si="6"/>
        <v>18.3</v>
      </c>
      <c r="T238" s="10">
        <v>18.0</v>
      </c>
      <c r="U238" s="10">
        <f t="shared" si="10"/>
        <v>45000</v>
      </c>
    </row>
    <row r="239" ht="14.25" customHeight="1">
      <c r="A239" s="1" t="s">
        <v>18</v>
      </c>
      <c r="B239" s="1">
        <v>30000.0</v>
      </c>
      <c r="C239" s="1">
        <v>100000.0</v>
      </c>
      <c r="D239" s="8">
        <v>238.0</v>
      </c>
      <c r="E239" s="9" t="s">
        <v>475</v>
      </c>
      <c r="F239" s="8" t="s">
        <v>356</v>
      </c>
      <c r="G239" s="11">
        <v>15000.0</v>
      </c>
      <c r="H239" s="10">
        <f t="shared" si="8"/>
        <v>6</v>
      </c>
      <c r="I239" s="10">
        <f t="shared" si="2"/>
        <v>6.466666667</v>
      </c>
      <c r="J239" s="12">
        <v>15000.0</v>
      </c>
      <c r="K239" s="19"/>
      <c r="L239" s="13">
        <f t="shared" si="9"/>
        <v>12</v>
      </c>
      <c r="M239" s="10">
        <v>45078.0</v>
      </c>
      <c r="N239" s="14">
        <v>45078.0</v>
      </c>
      <c r="O239" s="10">
        <v>46172.0</v>
      </c>
      <c r="P239" s="10">
        <f t="shared" si="4"/>
        <v>36.46666667</v>
      </c>
      <c r="Q239" s="10">
        <v>12.0</v>
      </c>
      <c r="R239" s="10">
        <f t="shared" si="5"/>
        <v>24.46666667</v>
      </c>
      <c r="S239" s="10">
        <f t="shared" si="6"/>
        <v>0</v>
      </c>
      <c r="T239" s="10"/>
      <c r="U239" s="10">
        <f t="shared" si="10"/>
        <v>0</v>
      </c>
    </row>
    <row r="240" ht="14.25" customHeight="1">
      <c r="A240" s="1" t="s">
        <v>18</v>
      </c>
      <c r="B240" s="1">
        <v>60000.0</v>
      </c>
      <c r="C240" s="1">
        <v>100000.0</v>
      </c>
      <c r="D240" s="8">
        <v>239.0</v>
      </c>
      <c r="E240" s="9" t="s">
        <v>476</v>
      </c>
      <c r="F240" s="20" t="s">
        <v>477</v>
      </c>
      <c r="G240" s="11">
        <v>15000.0</v>
      </c>
      <c r="H240" s="10">
        <f t="shared" si="8"/>
        <v>6</v>
      </c>
      <c r="I240" s="10">
        <f t="shared" si="2"/>
        <v>-5.533333333</v>
      </c>
      <c r="J240" s="19"/>
      <c r="K240" s="19"/>
      <c r="L240" s="13">
        <f t="shared" si="9"/>
        <v>24</v>
      </c>
      <c r="M240" s="10">
        <v>45078.0</v>
      </c>
      <c r="N240" s="14">
        <v>45078.0</v>
      </c>
      <c r="O240" s="10">
        <v>46172.0</v>
      </c>
      <c r="P240" s="10">
        <f t="shared" si="4"/>
        <v>36.46666667</v>
      </c>
      <c r="Q240" s="10">
        <v>12.0</v>
      </c>
      <c r="R240" s="10">
        <f t="shared" si="5"/>
        <v>24.46666667</v>
      </c>
      <c r="S240" s="10">
        <f t="shared" si="6"/>
        <v>0</v>
      </c>
      <c r="T240" s="10"/>
      <c r="U240" s="10">
        <f t="shared" si="10"/>
        <v>0</v>
      </c>
    </row>
    <row r="241" ht="14.25" customHeight="1">
      <c r="A241" s="1" t="s">
        <v>18</v>
      </c>
      <c r="B241" s="1">
        <v>30000.0</v>
      </c>
      <c r="C241" s="1">
        <v>100000.0</v>
      </c>
      <c r="D241" s="8">
        <v>240.0</v>
      </c>
      <c r="E241" s="9" t="s">
        <v>478</v>
      </c>
      <c r="F241" s="10" t="s">
        <v>479</v>
      </c>
      <c r="G241" s="15">
        <v>15000.0</v>
      </c>
      <c r="H241" s="10">
        <f t="shared" si="8"/>
        <v>6</v>
      </c>
      <c r="I241" s="10">
        <f t="shared" si="2"/>
        <v>6.466666667</v>
      </c>
      <c r="J241" s="12">
        <v>15000.0</v>
      </c>
      <c r="K241" s="13"/>
      <c r="L241" s="13">
        <f t="shared" si="9"/>
        <v>12</v>
      </c>
      <c r="M241" s="10">
        <v>45078.0</v>
      </c>
      <c r="N241" s="14">
        <v>45078.0</v>
      </c>
      <c r="O241" s="10">
        <v>46172.0</v>
      </c>
      <c r="P241" s="10">
        <f t="shared" si="4"/>
        <v>36.46666667</v>
      </c>
      <c r="Q241" s="10">
        <v>12.0</v>
      </c>
      <c r="R241" s="10">
        <f t="shared" si="5"/>
        <v>24.46666667</v>
      </c>
      <c r="S241" s="10">
        <f t="shared" si="6"/>
        <v>0</v>
      </c>
      <c r="T241" s="10"/>
      <c r="U241" s="10">
        <f t="shared" si="10"/>
        <v>0</v>
      </c>
    </row>
    <row r="242" ht="14.25" customHeight="1">
      <c r="A242" s="1" t="s">
        <v>18</v>
      </c>
      <c r="B242" s="1">
        <v>30000.0</v>
      </c>
      <c r="C242" s="1">
        <v>100000.0</v>
      </c>
      <c r="D242" s="8">
        <v>241.0</v>
      </c>
      <c r="E242" s="9" t="s">
        <v>480</v>
      </c>
      <c r="F242" s="8" t="s">
        <v>481</v>
      </c>
      <c r="G242" s="11">
        <v>15000.0</v>
      </c>
      <c r="H242" s="10">
        <f t="shared" si="8"/>
        <v>6</v>
      </c>
      <c r="I242" s="10">
        <f t="shared" si="2"/>
        <v>6.466666667</v>
      </c>
      <c r="J242" s="12">
        <v>15000.0</v>
      </c>
      <c r="K242" s="19"/>
      <c r="L242" s="13">
        <f t="shared" si="9"/>
        <v>12</v>
      </c>
      <c r="M242" s="10">
        <v>45078.0</v>
      </c>
      <c r="N242" s="14">
        <v>45078.0</v>
      </c>
      <c r="O242" s="10">
        <v>46172.0</v>
      </c>
      <c r="P242" s="10">
        <f t="shared" si="4"/>
        <v>36.46666667</v>
      </c>
      <c r="Q242" s="10">
        <v>12.0</v>
      </c>
      <c r="R242" s="10">
        <f t="shared" si="5"/>
        <v>24.46666667</v>
      </c>
      <c r="S242" s="10">
        <f t="shared" si="6"/>
        <v>0</v>
      </c>
      <c r="T242" s="10"/>
      <c r="U242" s="10">
        <f t="shared" si="10"/>
        <v>0</v>
      </c>
    </row>
    <row r="243" ht="14.25" customHeight="1">
      <c r="A243" s="1" t="s">
        <v>18</v>
      </c>
      <c r="B243" s="1">
        <v>30000.0</v>
      </c>
      <c r="C243" s="1">
        <v>100000.0</v>
      </c>
      <c r="D243" s="8">
        <v>242.0</v>
      </c>
      <c r="E243" s="9" t="s">
        <v>482</v>
      </c>
      <c r="F243" s="8" t="s">
        <v>483</v>
      </c>
      <c r="G243" s="11">
        <v>15000.0</v>
      </c>
      <c r="H243" s="10">
        <f t="shared" si="8"/>
        <v>6</v>
      </c>
      <c r="I243" s="10">
        <f t="shared" si="2"/>
        <v>6.466666667</v>
      </c>
      <c r="J243" s="12">
        <v>15000.0</v>
      </c>
      <c r="K243" s="19"/>
      <c r="L243" s="13">
        <f t="shared" si="9"/>
        <v>12</v>
      </c>
      <c r="M243" s="10">
        <v>45078.0</v>
      </c>
      <c r="N243" s="14">
        <v>45078.0</v>
      </c>
      <c r="O243" s="10">
        <v>46172.0</v>
      </c>
      <c r="P243" s="10">
        <f t="shared" si="4"/>
        <v>36.46666667</v>
      </c>
      <c r="Q243" s="10">
        <v>12.0</v>
      </c>
      <c r="R243" s="10">
        <f t="shared" si="5"/>
        <v>24.46666667</v>
      </c>
      <c r="S243" s="10">
        <f t="shared" si="6"/>
        <v>0</v>
      </c>
      <c r="T243" s="10"/>
      <c r="U243" s="10">
        <f t="shared" si="10"/>
        <v>0</v>
      </c>
    </row>
    <row r="244" ht="14.25" customHeight="1">
      <c r="A244" s="21" t="s">
        <v>122</v>
      </c>
      <c r="B244" s="1"/>
      <c r="C244" s="1"/>
      <c r="D244" s="8">
        <v>243.0</v>
      </c>
      <c r="E244" s="8" t="s">
        <v>484</v>
      </c>
      <c r="F244" s="10"/>
      <c r="G244" s="10"/>
      <c r="H244" s="10">
        <f t="shared" si="8"/>
        <v>0</v>
      </c>
      <c r="I244" s="10">
        <f t="shared" si="2"/>
        <v>0</v>
      </c>
      <c r="J244" s="13"/>
      <c r="K244" s="13"/>
      <c r="L244" s="13">
        <f t="shared" si="9"/>
        <v>0</v>
      </c>
      <c r="M244" s="10">
        <v>45078.0</v>
      </c>
      <c r="N244" s="14">
        <v>46172.0</v>
      </c>
      <c r="O244" s="10">
        <v>46172.0</v>
      </c>
      <c r="P244" s="10">
        <f t="shared" si="4"/>
        <v>0</v>
      </c>
      <c r="Q244" s="10">
        <v>0.0</v>
      </c>
      <c r="R244" s="10">
        <f t="shared" si="5"/>
        <v>0</v>
      </c>
      <c r="S244" s="10">
        <f t="shared" si="6"/>
        <v>36.46666667</v>
      </c>
      <c r="T244" s="10">
        <v>36.0</v>
      </c>
      <c r="U244" s="10">
        <f t="shared" si="10"/>
        <v>90000</v>
      </c>
    </row>
    <row r="245" ht="14.25" customHeight="1">
      <c r="A245" s="1" t="s">
        <v>18</v>
      </c>
      <c r="B245" s="1">
        <v>60000.0</v>
      </c>
      <c r="C245" s="1">
        <v>100000.0</v>
      </c>
      <c r="D245" s="8">
        <v>244.0</v>
      </c>
      <c r="E245" s="9" t="s">
        <v>485</v>
      </c>
      <c r="F245" s="20" t="s">
        <v>486</v>
      </c>
      <c r="G245" s="8"/>
      <c r="H245" s="10">
        <f t="shared" si="8"/>
        <v>0</v>
      </c>
      <c r="I245" s="10">
        <f t="shared" si="2"/>
        <v>0.4666666667</v>
      </c>
      <c r="J245" s="13"/>
      <c r="K245" s="13"/>
      <c r="L245" s="13">
        <f t="shared" si="9"/>
        <v>24</v>
      </c>
      <c r="M245" s="10">
        <v>45078.0</v>
      </c>
      <c r="N245" s="14">
        <v>45078.0</v>
      </c>
      <c r="O245" s="10">
        <v>46172.0</v>
      </c>
      <c r="P245" s="10">
        <f t="shared" si="4"/>
        <v>36.46666667</v>
      </c>
      <c r="Q245" s="10">
        <v>12.0</v>
      </c>
      <c r="R245" s="10">
        <f t="shared" si="5"/>
        <v>24.46666667</v>
      </c>
      <c r="S245" s="10">
        <f t="shared" si="6"/>
        <v>0</v>
      </c>
      <c r="T245" s="10"/>
      <c r="U245" s="10">
        <f t="shared" si="10"/>
        <v>0</v>
      </c>
    </row>
    <row r="246" ht="14.25" customHeight="1">
      <c r="A246" s="1" t="s">
        <v>18</v>
      </c>
      <c r="B246" s="1">
        <v>20000.0</v>
      </c>
      <c r="C246" s="1">
        <v>100000.0</v>
      </c>
      <c r="D246" s="8">
        <v>245.0</v>
      </c>
      <c r="E246" s="9" t="s">
        <v>487</v>
      </c>
      <c r="F246" s="39" t="s">
        <v>488</v>
      </c>
      <c r="G246" s="10"/>
      <c r="H246" s="10">
        <f t="shared" si="8"/>
        <v>0</v>
      </c>
      <c r="I246" s="10">
        <f t="shared" si="2"/>
        <v>0.2</v>
      </c>
      <c r="J246" s="13"/>
      <c r="K246" s="13"/>
      <c r="L246" s="13">
        <f t="shared" si="9"/>
        <v>8</v>
      </c>
      <c r="M246" s="10">
        <v>45078.0</v>
      </c>
      <c r="N246" s="14">
        <v>45566.0</v>
      </c>
      <c r="O246" s="10">
        <v>46172.0</v>
      </c>
      <c r="P246" s="10">
        <f t="shared" si="4"/>
        <v>20.2</v>
      </c>
      <c r="Q246" s="10">
        <v>12.0</v>
      </c>
      <c r="R246" s="10">
        <f t="shared" si="5"/>
        <v>8.2</v>
      </c>
      <c r="S246" s="10">
        <f t="shared" si="6"/>
        <v>16.26666667</v>
      </c>
      <c r="T246" s="10">
        <v>16.0</v>
      </c>
      <c r="U246" s="10">
        <f t="shared" si="10"/>
        <v>40000</v>
      </c>
    </row>
    <row r="247" ht="14.25" customHeight="1">
      <c r="A247" s="1" t="s">
        <v>18</v>
      </c>
      <c r="B247" s="1">
        <v>30000.0</v>
      </c>
      <c r="C247" s="1">
        <v>100000.0</v>
      </c>
      <c r="D247" s="8">
        <v>246.0</v>
      </c>
      <c r="E247" s="9" t="s">
        <v>489</v>
      </c>
      <c r="F247" s="10" t="s">
        <v>490</v>
      </c>
      <c r="G247" s="11">
        <v>30000.0</v>
      </c>
      <c r="H247" s="10">
        <f t="shared" si="8"/>
        <v>12</v>
      </c>
      <c r="I247" s="10">
        <f t="shared" si="2"/>
        <v>0.4666666667</v>
      </c>
      <c r="J247" s="13"/>
      <c r="K247" s="13"/>
      <c r="L247" s="13">
        <f t="shared" si="9"/>
        <v>12</v>
      </c>
      <c r="M247" s="10">
        <v>45078.0</v>
      </c>
      <c r="N247" s="14">
        <v>45078.0</v>
      </c>
      <c r="O247" s="10">
        <v>46172.0</v>
      </c>
      <c r="P247" s="10">
        <f t="shared" si="4"/>
        <v>36.46666667</v>
      </c>
      <c r="Q247" s="10">
        <v>12.0</v>
      </c>
      <c r="R247" s="10">
        <f t="shared" si="5"/>
        <v>24.46666667</v>
      </c>
      <c r="S247" s="10">
        <f t="shared" si="6"/>
        <v>0</v>
      </c>
      <c r="T247" s="10"/>
      <c r="U247" s="10">
        <f t="shared" si="10"/>
        <v>0</v>
      </c>
    </row>
    <row r="248" ht="14.25" customHeight="1">
      <c r="A248" s="1" t="s">
        <v>18</v>
      </c>
      <c r="B248" s="1">
        <v>30000.0</v>
      </c>
      <c r="C248" s="1">
        <v>100000.0</v>
      </c>
      <c r="D248" s="8">
        <v>247.0</v>
      </c>
      <c r="E248" s="9" t="s">
        <v>491</v>
      </c>
      <c r="F248" s="8" t="s">
        <v>185</v>
      </c>
      <c r="G248" s="11">
        <v>30000.0</v>
      </c>
      <c r="H248" s="10">
        <f t="shared" si="8"/>
        <v>12</v>
      </c>
      <c r="I248" s="10">
        <f t="shared" si="2"/>
        <v>0.4666666667</v>
      </c>
      <c r="J248" s="13"/>
      <c r="K248" s="13"/>
      <c r="L248" s="13">
        <f t="shared" si="9"/>
        <v>12</v>
      </c>
      <c r="M248" s="10">
        <v>45078.0</v>
      </c>
      <c r="N248" s="14">
        <v>45078.0</v>
      </c>
      <c r="O248" s="10">
        <v>46172.0</v>
      </c>
      <c r="P248" s="10">
        <f t="shared" si="4"/>
        <v>36.46666667</v>
      </c>
      <c r="Q248" s="10">
        <v>12.0</v>
      </c>
      <c r="R248" s="10">
        <f t="shared" si="5"/>
        <v>24.46666667</v>
      </c>
      <c r="S248" s="10">
        <f t="shared" si="6"/>
        <v>0</v>
      </c>
      <c r="T248" s="10"/>
      <c r="U248" s="10">
        <f t="shared" si="10"/>
        <v>0</v>
      </c>
    </row>
    <row r="249" ht="14.25" customHeight="1">
      <c r="A249" s="1" t="s">
        <v>18</v>
      </c>
      <c r="B249" s="1">
        <v>30000.0</v>
      </c>
      <c r="C249" s="1">
        <v>100000.0</v>
      </c>
      <c r="D249" s="8">
        <v>248.0</v>
      </c>
      <c r="E249" s="9" t="s">
        <v>492</v>
      </c>
      <c r="F249" s="8" t="s">
        <v>493</v>
      </c>
      <c r="G249" s="11">
        <v>15000.0</v>
      </c>
      <c r="H249" s="10">
        <f t="shared" si="8"/>
        <v>6</v>
      </c>
      <c r="I249" s="10">
        <f t="shared" si="2"/>
        <v>6.466666667</v>
      </c>
      <c r="J249" s="12">
        <v>15000.0</v>
      </c>
      <c r="K249" s="13"/>
      <c r="L249" s="13">
        <f t="shared" si="9"/>
        <v>12</v>
      </c>
      <c r="M249" s="10">
        <v>45078.0</v>
      </c>
      <c r="N249" s="14">
        <v>45078.0</v>
      </c>
      <c r="O249" s="10">
        <v>46172.0</v>
      </c>
      <c r="P249" s="10">
        <f t="shared" si="4"/>
        <v>36.46666667</v>
      </c>
      <c r="Q249" s="10">
        <v>12.0</v>
      </c>
      <c r="R249" s="10">
        <f t="shared" si="5"/>
        <v>24.46666667</v>
      </c>
      <c r="S249" s="10">
        <f t="shared" si="6"/>
        <v>0</v>
      </c>
      <c r="T249" s="10"/>
      <c r="U249" s="10">
        <f t="shared" si="10"/>
        <v>0</v>
      </c>
    </row>
    <row r="250" ht="14.25" customHeight="1">
      <c r="A250" s="1" t="s">
        <v>18</v>
      </c>
      <c r="B250" s="1">
        <v>30000.0</v>
      </c>
      <c r="C250" s="1">
        <v>100000.0</v>
      </c>
      <c r="D250" s="8">
        <v>249.0</v>
      </c>
      <c r="E250" s="9" t="s">
        <v>494</v>
      </c>
      <c r="F250" s="10" t="s">
        <v>495</v>
      </c>
      <c r="G250" s="10"/>
      <c r="H250" s="10">
        <f t="shared" si="8"/>
        <v>0</v>
      </c>
      <c r="I250" s="10">
        <f t="shared" si="2"/>
        <v>12.46666667</v>
      </c>
      <c r="J250" s="13"/>
      <c r="K250" s="13"/>
      <c r="L250" s="13">
        <f t="shared" si="9"/>
        <v>12</v>
      </c>
      <c r="M250" s="10">
        <v>45078.0</v>
      </c>
      <c r="N250" s="14">
        <v>45078.0</v>
      </c>
      <c r="O250" s="10">
        <v>46172.0</v>
      </c>
      <c r="P250" s="10">
        <f t="shared" si="4"/>
        <v>36.46666667</v>
      </c>
      <c r="Q250" s="10">
        <v>12.0</v>
      </c>
      <c r="R250" s="10">
        <f t="shared" si="5"/>
        <v>24.46666667</v>
      </c>
      <c r="S250" s="10">
        <f t="shared" si="6"/>
        <v>0</v>
      </c>
      <c r="T250" s="10"/>
      <c r="U250" s="10">
        <f t="shared" si="10"/>
        <v>0</v>
      </c>
    </row>
    <row r="251" ht="14.25" customHeight="1">
      <c r="A251" s="1" t="s">
        <v>18</v>
      </c>
      <c r="B251" s="1">
        <v>60000.0</v>
      </c>
      <c r="C251" s="1">
        <v>100000.0</v>
      </c>
      <c r="D251" s="8">
        <v>250.0</v>
      </c>
      <c r="E251" s="9" t="s">
        <v>496</v>
      </c>
      <c r="F251" s="20" t="s">
        <v>497</v>
      </c>
      <c r="G251" s="11">
        <v>15000.0</v>
      </c>
      <c r="H251" s="10">
        <f t="shared" si="8"/>
        <v>6</v>
      </c>
      <c r="I251" s="10">
        <f t="shared" si="2"/>
        <v>-5.533333333</v>
      </c>
      <c r="J251" s="13"/>
      <c r="K251" s="13"/>
      <c r="L251" s="13">
        <f t="shared" si="9"/>
        <v>24</v>
      </c>
      <c r="M251" s="10">
        <v>45078.0</v>
      </c>
      <c r="N251" s="14">
        <v>45078.0</v>
      </c>
      <c r="O251" s="10">
        <v>46172.0</v>
      </c>
      <c r="P251" s="10">
        <f t="shared" si="4"/>
        <v>36.46666667</v>
      </c>
      <c r="Q251" s="10">
        <v>12.0</v>
      </c>
      <c r="R251" s="10">
        <f t="shared" si="5"/>
        <v>24.46666667</v>
      </c>
      <c r="S251" s="10">
        <f t="shared" si="6"/>
        <v>0</v>
      </c>
      <c r="T251" s="10"/>
      <c r="U251" s="10">
        <f t="shared" si="10"/>
        <v>0</v>
      </c>
    </row>
    <row r="252" ht="14.25" customHeight="1">
      <c r="A252" s="1"/>
      <c r="B252" s="1"/>
      <c r="C252" s="1"/>
      <c r="D252" s="8">
        <v>251.0</v>
      </c>
      <c r="E252" s="8" t="s">
        <v>498</v>
      </c>
      <c r="F252" s="10"/>
      <c r="G252" s="10"/>
      <c r="H252" s="10">
        <f t="shared" si="8"/>
        <v>0</v>
      </c>
      <c r="I252" s="10">
        <f t="shared" si="2"/>
        <v>0</v>
      </c>
      <c r="J252" s="13"/>
      <c r="K252" s="13"/>
      <c r="L252" s="13">
        <f t="shared" si="9"/>
        <v>0</v>
      </c>
      <c r="M252" s="10">
        <v>45078.0</v>
      </c>
      <c r="N252" s="14">
        <v>46172.0</v>
      </c>
      <c r="O252" s="10">
        <v>46172.0</v>
      </c>
      <c r="P252" s="10">
        <f t="shared" si="4"/>
        <v>0</v>
      </c>
      <c r="Q252" s="10">
        <v>0.0</v>
      </c>
      <c r="R252" s="10">
        <f t="shared" si="5"/>
        <v>0</v>
      </c>
      <c r="S252" s="10">
        <f t="shared" si="6"/>
        <v>36.46666667</v>
      </c>
      <c r="T252" s="10">
        <v>36.0</v>
      </c>
      <c r="U252" s="10">
        <f t="shared" si="10"/>
        <v>90000</v>
      </c>
    </row>
    <row r="253" ht="14.25" customHeight="1">
      <c r="A253" s="1"/>
      <c r="B253" s="1"/>
      <c r="C253" s="1"/>
      <c r="D253" s="8">
        <v>252.0</v>
      </c>
      <c r="E253" s="8" t="s">
        <v>499</v>
      </c>
      <c r="F253" s="10"/>
      <c r="G253" s="10"/>
      <c r="H253" s="10">
        <f t="shared" si="8"/>
        <v>0</v>
      </c>
      <c r="I253" s="10">
        <f t="shared" si="2"/>
        <v>0</v>
      </c>
      <c r="J253" s="13"/>
      <c r="K253" s="13"/>
      <c r="L253" s="13">
        <f t="shared" si="9"/>
        <v>0</v>
      </c>
      <c r="M253" s="10">
        <v>45078.0</v>
      </c>
      <c r="N253" s="14">
        <v>46172.0</v>
      </c>
      <c r="O253" s="10">
        <v>46172.0</v>
      </c>
      <c r="P253" s="10">
        <f t="shared" si="4"/>
        <v>0</v>
      </c>
      <c r="Q253" s="10">
        <v>0.0</v>
      </c>
      <c r="R253" s="10">
        <f t="shared" si="5"/>
        <v>0</v>
      </c>
      <c r="S253" s="10">
        <f t="shared" si="6"/>
        <v>36.46666667</v>
      </c>
      <c r="T253" s="10">
        <v>36.0</v>
      </c>
      <c r="U253" s="10">
        <f t="shared" si="10"/>
        <v>90000</v>
      </c>
    </row>
    <row r="254" ht="14.25" customHeight="1">
      <c r="A254" s="1"/>
      <c r="B254" s="1"/>
      <c r="C254" s="1"/>
      <c r="D254" s="8">
        <v>253.0</v>
      </c>
      <c r="E254" s="8" t="s">
        <v>500</v>
      </c>
      <c r="F254" s="10"/>
      <c r="G254" s="10"/>
      <c r="H254" s="10">
        <f t="shared" si="8"/>
        <v>0</v>
      </c>
      <c r="I254" s="10">
        <f t="shared" si="2"/>
        <v>0</v>
      </c>
      <c r="J254" s="13"/>
      <c r="K254" s="13"/>
      <c r="L254" s="13">
        <f t="shared" si="9"/>
        <v>0</v>
      </c>
      <c r="M254" s="10">
        <v>45078.0</v>
      </c>
      <c r="N254" s="14">
        <v>46172.0</v>
      </c>
      <c r="O254" s="10">
        <v>46172.0</v>
      </c>
      <c r="P254" s="10">
        <f t="shared" si="4"/>
        <v>0</v>
      </c>
      <c r="Q254" s="10">
        <v>0.0</v>
      </c>
      <c r="R254" s="10">
        <f t="shared" si="5"/>
        <v>0</v>
      </c>
      <c r="S254" s="10">
        <f t="shared" si="6"/>
        <v>36.46666667</v>
      </c>
      <c r="T254" s="10">
        <v>36.0</v>
      </c>
      <c r="U254" s="10">
        <f t="shared" si="10"/>
        <v>90000</v>
      </c>
    </row>
    <row r="255" ht="14.25" customHeight="1">
      <c r="A255" s="1"/>
      <c r="B255" s="1"/>
      <c r="C255" s="1"/>
      <c r="D255" s="8">
        <v>254.0</v>
      </c>
      <c r="E255" s="8" t="s">
        <v>501</v>
      </c>
      <c r="F255" s="10"/>
      <c r="G255" s="10"/>
      <c r="H255" s="10">
        <f t="shared" si="8"/>
        <v>0</v>
      </c>
      <c r="I255" s="10">
        <f t="shared" si="2"/>
        <v>0</v>
      </c>
      <c r="J255" s="13"/>
      <c r="K255" s="13"/>
      <c r="L255" s="13">
        <f t="shared" si="9"/>
        <v>0</v>
      </c>
      <c r="M255" s="10">
        <v>45078.0</v>
      </c>
      <c r="N255" s="14">
        <v>46172.0</v>
      </c>
      <c r="O255" s="10">
        <v>46172.0</v>
      </c>
      <c r="P255" s="10">
        <f t="shared" si="4"/>
        <v>0</v>
      </c>
      <c r="Q255" s="10">
        <v>0.0</v>
      </c>
      <c r="R255" s="10">
        <f t="shared" si="5"/>
        <v>0</v>
      </c>
      <c r="S255" s="10">
        <f t="shared" si="6"/>
        <v>36.46666667</v>
      </c>
      <c r="T255" s="10">
        <v>36.0</v>
      </c>
      <c r="U255" s="10">
        <f t="shared" si="10"/>
        <v>90000</v>
      </c>
    </row>
    <row r="256" ht="14.25" customHeight="1">
      <c r="A256" s="1"/>
      <c r="B256" s="1"/>
      <c r="C256" s="1"/>
      <c r="D256" s="8">
        <v>255.0</v>
      </c>
      <c r="E256" s="8" t="s">
        <v>502</v>
      </c>
      <c r="F256" s="10"/>
      <c r="G256" s="10"/>
      <c r="H256" s="10">
        <f t="shared" si="8"/>
        <v>0</v>
      </c>
      <c r="I256" s="10">
        <f t="shared" si="2"/>
        <v>0</v>
      </c>
      <c r="J256" s="13"/>
      <c r="K256" s="13"/>
      <c r="L256" s="13">
        <f t="shared" si="9"/>
        <v>0</v>
      </c>
      <c r="M256" s="10">
        <v>45078.0</v>
      </c>
      <c r="N256" s="14">
        <v>46172.0</v>
      </c>
      <c r="O256" s="10">
        <v>46172.0</v>
      </c>
      <c r="P256" s="10">
        <f t="shared" si="4"/>
        <v>0</v>
      </c>
      <c r="Q256" s="10">
        <v>0.0</v>
      </c>
      <c r="R256" s="10">
        <f t="shared" si="5"/>
        <v>0</v>
      </c>
      <c r="S256" s="10">
        <f t="shared" si="6"/>
        <v>36.46666667</v>
      </c>
      <c r="T256" s="10">
        <v>36.0</v>
      </c>
      <c r="U256" s="10">
        <f t="shared" si="10"/>
        <v>90000</v>
      </c>
    </row>
    <row r="257" ht="14.25" customHeight="1">
      <c r="A257" s="1" t="s">
        <v>18</v>
      </c>
      <c r="B257" s="1">
        <v>30000.0</v>
      </c>
      <c r="C257" s="1">
        <v>100000.0</v>
      </c>
      <c r="D257" s="8">
        <v>256.0</v>
      </c>
      <c r="E257" s="9" t="s">
        <v>503</v>
      </c>
      <c r="F257" s="8" t="s">
        <v>504</v>
      </c>
      <c r="G257" s="11">
        <v>15000.0</v>
      </c>
      <c r="H257" s="10">
        <f t="shared" si="8"/>
        <v>6</v>
      </c>
      <c r="I257" s="10">
        <f t="shared" si="2"/>
        <v>6.466666667</v>
      </c>
      <c r="J257" s="12">
        <v>15000.0</v>
      </c>
      <c r="K257" s="19"/>
      <c r="L257" s="13">
        <f t="shared" si="9"/>
        <v>12</v>
      </c>
      <c r="M257" s="10">
        <v>45078.0</v>
      </c>
      <c r="N257" s="14">
        <v>45078.0</v>
      </c>
      <c r="O257" s="10">
        <v>46172.0</v>
      </c>
      <c r="P257" s="10">
        <f t="shared" si="4"/>
        <v>36.46666667</v>
      </c>
      <c r="Q257" s="10">
        <v>12.0</v>
      </c>
      <c r="R257" s="10">
        <f t="shared" si="5"/>
        <v>24.46666667</v>
      </c>
      <c r="S257" s="10">
        <f t="shared" si="6"/>
        <v>0</v>
      </c>
      <c r="T257" s="10"/>
      <c r="U257" s="10">
        <f t="shared" si="10"/>
        <v>0</v>
      </c>
    </row>
    <row r="258" ht="14.25" customHeight="1">
      <c r="A258" s="1"/>
      <c r="B258" s="1"/>
      <c r="C258" s="1"/>
      <c r="D258" s="8">
        <v>257.0</v>
      </c>
      <c r="E258" s="8" t="s">
        <v>505</v>
      </c>
      <c r="F258" s="10"/>
      <c r="G258" s="10"/>
      <c r="H258" s="10">
        <f t="shared" si="8"/>
        <v>0</v>
      </c>
      <c r="I258" s="10">
        <f t="shared" si="2"/>
        <v>0</v>
      </c>
      <c r="J258" s="13"/>
      <c r="K258" s="13"/>
      <c r="L258" s="13">
        <f t="shared" si="9"/>
        <v>0</v>
      </c>
      <c r="M258" s="10">
        <v>45078.0</v>
      </c>
      <c r="N258" s="14">
        <v>46172.0</v>
      </c>
      <c r="O258" s="10">
        <v>46172.0</v>
      </c>
      <c r="P258" s="10">
        <f t="shared" si="4"/>
        <v>0</v>
      </c>
      <c r="Q258" s="10">
        <v>0.0</v>
      </c>
      <c r="R258" s="10">
        <f t="shared" si="5"/>
        <v>0</v>
      </c>
      <c r="S258" s="10">
        <f t="shared" si="6"/>
        <v>36.46666667</v>
      </c>
      <c r="T258" s="10">
        <v>36.0</v>
      </c>
      <c r="U258" s="10">
        <f t="shared" si="10"/>
        <v>90000</v>
      </c>
    </row>
    <row r="259" ht="14.25" customHeight="1">
      <c r="A259" s="21" t="s">
        <v>107</v>
      </c>
      <c r="B259" s="1">
        <v>30000.0</v>
      </c>
      <c r="C259" s="1">
        <v>100000.0</v>
      </c>
      <c r="D259" s="8">
        <v>258.0</v>
      </c>
      <c r="E259" s="22" t="s">
        <v>506</v>
      </c>
      <c r="F259" s="8" t="s">
        <v>507</v>
      </c>
      <c r="G259" s="11">
        <v>10000.0</v>
      </c>
      <c r="H259" s="10">
        <f t="shared" si="8"/>
        <v>4</v>
      </c>
      <c r="I259" s="10">
        <f t="shared" si="2"/>
        <v>0.3</v>
      </c>
      <c r="J259" s="19"/>
      <c r="K259" s="19"/>
      <c r="L259" s="13">
        <f t="shared" si="9"/>
        <v>12</v>
      </c>
      <c r="M259" s="10">
        <v>45078.0</v>
      </c>
      <c r="N259" s="14">
        <v>45323.0</v>
      </c>
      <c r="O259" s="10">
        <v>46172.0</v>
      </c>
      <c r="P259" s="10">
        <f t="shared" si="4"/>
        <v>28.3</v>
      </c>
      <c r="Q259" s="10">
        <v>12.0</v>
      </c>
      <c r="R259" s="10">
        <f t="shared" si="5"/>
        <v>16.3</v>
      </c>
      <c r="S259" s="10">
        <f t="shared" si="6"/>
        <v>8.166666667</v>
      </c>
      <c r="T259" s="10">
        <v>8.0</v>
      </c>
      <c r="U259" s="10">
        <f t="shared" si="10"/>
        <v>20000</v>
      </c>
    </row>
    <row r="260" ht="14.25" customHeight="1">
      <c r="A260" s="21" t="s">
        <v>107</v>
      </c>
      <c r="B260" s="1">
        <v>12000.0</v>
      </c>
      <c r="C260" s="1">
        <v>50000.0</v>
      </c>
      <c r="D260" s="10">
        <v>259.0</v>
      </c>
      <c r="E260" s="22" t="s">
        <v>508</v>
      </c>
      <c r="F260" s="10" t="s">
        <v>509</v>
      </c>
      <c r="G260" s="10"/>
      <c r="H260" s="10">
        <f t="shared" ref="H260:H261" si="11">G260/1000</f>
        <v>0</v>
      </c>
      <c r="I260" s="10">
        <f t="shared" si="2"/>
        <v>0.1333333333</v>
      </c>
      <c r="J260" s="13"/>
      <c r="K260" s="13"/>
      <c r="L260" s="13">
        <f t="shared" ref="L260:L261" si="12">B260/1000</f>
        <v>12</v>
      </c>
      <c r="M260" s="10">
        <v>45078.0</v>
      </c>
      <c r="N260" s="14">
        <v>45748.0</v>
      </c>
      <c r="O260" s="10">
        <v>46172.0</v>
      </c>
      <c r="P260" s="10">
        <f t="shared" si="4"/>
        <v>14.13333333</v>
      </c>
      <c r="Q260" s="10">
        <v>2.0</v>
      </c>
      <c r="R260" s="10">
        <f t="shared" si="5"/>
        <v>12.13333333</v>
      </c>
      <c r="S260" s="10">
        <f t="shared" si="6"/>
        <v>22.33333333</v>
      </c>
      <c r="T260" s="10">
        <v>22.0</v>
      </c>
      <c r="U260" s="10">
        <f t="shared" ref="U260:U261" si="13">T260*1000</f>
        <v>22000</v>
      </c>
    </row>
    <row r="261" ht="14.25" customHeight="1">
      <c r="A261" s="1"/>
      <c r="B261" s="1"/>
      <c r="C261" s="1"/>
      <c r="D261" s="10">
        <v>260.0</v>
      </c>
      <c r="E261" s="10" t="s">
        <v>510</v>
      </c>
      <c r="F261" s="10"/>
      <c r="G261" s="10"/>
      <c r="H261" s="10">
        <f t="shared" si="11"/>
        <v>0</v>
      </c>
      <c r="I261" s="10">
        <f t="shared" si="2"/>
        <v>0</v>
      </c>
      <c r="J261" s="13"/>
      <c r="K261" s="13"/>
      <c r="L261" s="13">
        <f t="shared" si="12"/>
        <v>0</v>
      </c>
      <c r="M261" s="10">
        <v>45078.0</v>
      </c>
      <c r="N261" s="14">
        <v>46172.0</v>
      </c>
      <c r="O261" s="10">
        <v>46172.0</v>
      </c>
      <c r="P261" s="10">
        <f t="shared" si="4"/>
        <v>0</v>
      </c>
      <c r="Q261" s="10">
        <v>0.0</v>
      </c>
      <c r="R261" s="10">
        <f t="shared" si="5"/>
        <v>0</v>
      </c>
      <c r="S261" s="10">
        <f t="shared" si="6"/>
        <v>36.46666667</v>
      </c>
      <c r="T261" s="10">
        <v>36.0</v>
      </c>
      <c r="U261" s="10">
        <f t="shared" si="13"/>
        <v>36000</v>
      </c>
    </row>
    <row r="262" ht="14.25" customHeight="1">
      <c r="A262" s="1"/>
      <c r="B262" s="1">
        <f t="shared" ref="B262:C262" si="14">SUM(B2:B261)</f>
        <v>7142019</v>
      </c>
      <c r="C262" s="1">
        <f t="shared" si="14"/>
        <v>22650000</v>
      </c>
      <c r="D262" s="10"/>
      <c r="E262" s="10"/>
      <c r="F262" s="40" t="s">
        <v>511</v>
      </c>
      <c r="G262" s="41">
        <f>SUM(G2:G261)</f>
        <v>3529000</v>
      </c>
      <c r="H262" s="10"/>
      <c r="I262" s="10"/>
      <c r="J262" s="13"/>
      <c r="K262" s="13"/>
      <c r="L262" s="13"/>
      <c r="M262" s="10"/>
      <c r="N262" s="42" t="s">
        <v>512</v>
      </c>
      <c r="O262" s="10"/>
      <c r="P262" s="10"/>
      <c r="Q262" s="10"/>
      <c r="R262" s="43"/>
      <c r="S262" s="42"/>
      <c r="T262" s="42"/>
      <c r="U262" s="42">
        <f>SUM(U2:U261)</f>
        <v>3578500</v>
      </c>
    </row>
    <row r="263" ht="14.25" customHeight="1">
      <c r="A263" s="1"/>
      <c r="B263" s="1"/>
      <c r="C263" s="1"/>
      <c r="D263" s="10"/>
      <c r="E263" s="10"/>
      <c r="F263" s="10"/>
      <c r="G263" s="10"/>
      <c r="H263" s="10"/>
      <c r="I263" s="10"/>
      <c r="J263" s="13"/>
      <c r="K263" s="13"/>
      <c r="L263" s="13"/>
      <c r="M263" s="10"/>
      <c r="N263" s="14"/>
      <c r="O263" s="10"/>
      <c r="P263" s="10"/>
      <c r="Q263" s="10"/>
      <c r="R263" s="10"/>
      <c r="S263" s="10"/>
      <c r="T263" s="10"/>
      <c r="U263" s="10"/>
    </row>
    <row r="264" ht="14.25" customHeight="1">
      <c r="A264" s="1"/>
      <c r="B264" s="1">
        <f>B262+C262</f>
        <v>29792019</v>
      </c>
      <c r="C264" s="1"/>
      <c r="D264" s="1"/>
      <c r="E264" s="1"/>
      <c r="F264" s="1"/>
      <c r="G264" s="1"/>
      <c r="H264" s="10"/>
      <c r="I264" s="10"/>
      <c r="J264" s="13"/>
      <c r="K264" s="13"/>
      <c r="L264" s="13"/>
      <c r="M264" s="10"/>
      <c r="N264" s="14"/>
      <c r="O264" s="10"/>
      <c r="P264" s="10"/>
      <c r="Q264" s="10"/>
      <c r="R264" s="10"/>
      <c r="S264" s="10"/>
      <c r="T264" s="10"/>
      <c r="U264" s="10"/>
    </row>
    <row r="265" ht="14.25" customHeight="1">
      <c r="A265" s="1"/>
      <c r="B265" s="1"/>
      <c r="C265" s="1"/>
      <c r="D265" s="10"/>
      <c r="E265" s="27" t="s">
        <v>266</v>
      </c>
      <c r="F265" s="34" t="s">
        <v>267</v>
      </c>
      <c r="G265" s="44">
        <v>100000.0</v>
      </c>
      <c r="H265" s="10"/>
      <c r="I265" s="10"/>
      <c r="J265" s="13"/>
      <c r="K265" s="13"/>
      <c r="L265" s="13"/>
      <c r="M265" s="10"/>
      <c r="N265" s="14"/>
      <c r="O265" s="10"/>
      <c r="P265" s="10"/>
      <c r="Q265" s="10"/>
      <c r="R265" s="10"/>
      <c r="S265" s="10"/>
      <c r="T265" s="10"/>
      <c r="U265" s="10"/>
    </row>
    <row r="266" ht="14.25" customHeight="1">
      <c r="A266" s="1"/>
      <c r="B266" s="1"/>
      <c r="C266" s="1"/>
      <c r="D266" s="10"/>
      <c r="E266" s="8" t="s">
        <v>119</v>
      </c>
      <c r="F266" s="14" t="s">
        <v>120</v>
      </c>
      <c r="G266" s="11">
        <v>100000.0</v>
      </c>
      <c r="H266" s="10"/>
      <c r="I266" s="10"/>
      <c r="J266" s="13"/>
      <c r="K266" s="13"/>
      <c r="L266" s="13"/>
      <c r="M266" s="10"/>
      <c r="N266" s="14"/>
      <c r="O266" s="10"/>
      <c r="P266" s="10"/>
      <c r="Q266" s="10"/>
      <c r="R266" s="10"/>
      <c r="S266" s="10"/>
      <c r="T266" s="10"/>
      <c r="U266" s="10"/>
    </row>
    <row r="267" ht="14.25" customHeight="1">
      <c r="A267" s="1"/>
      <c r="B267" s="1"/>
      <c r="C267" s="1"/>
      <c r="D267" s="10"/>
      <c r="E267" s="8" t="s">
        <v>117</v>
      </c>
      <c r="F267" s="8" t="s">
        <v>513</v>
      </c>
      <c r="G267" s="11">
        <v>100000.0</v>
      </c>
      <c r="H267" s="10"/>
      <c r="I267" s="10"/>
      <c r="J267" s="13"/>
      <c r="K267" s="13"/>
      <c r="L267" s="13"/>
      <c r="M267" s="10"/>
      <c r="N267" s="14"/>
      <c r="O267" s="10"/>
      <c r="P267" s="10"/>
      <c r="Q267" s="10"/>
      <c r="R267" s="10"/>
      <c r="S267" s="10"/>
      <c r="T267" s="10"/>
      <c r="U267" s="10"/>
    </row>
    <row r="268" ht="14.25" customHeight="1">
      <c r="A268" s="1"/>
      <c r="B268" s="1"/>
      <c r="C268" s="1"/>
      <c r="D268" s="10"/>
      <c r="E268" s="33" t="s">
        <v>345</v>
      </c>
      <c r="F268" s="33" t="s">
        <v>514</v>
      </c>
      <c r="G268" s="17">
        <v>100000.0</v>
      </c>
      <c r="H268" s="10"/>
      <c r="I268" s="10"/>
      <c r="J268" s="13"/>
      <c r="K268" s="13"/>
      <c r="L268" s="13"/>
      <c r="M268" s="10"/>
      <c r="N268" s="14"/>
      <c r="O268" s="10"/>
      <c r="P268" s="10"/>
      <c r="Q268" s="10"/>
      <c r="R268" s="10"/>
      <c r="S268" s="10"/>
      <c r="T268" s="10"/>
      <c r="U268" s="10"/>
    </row>
    <row r="269" ht="14.25" customHeight="1">
      <c r="A269" s="1"/>
      <c r="B269" s="1"/>
      <c r="C269" s="1"/>
      <c r="D269" s="10"/>
      <c r="E269" s="33" t="s">
        <v>248</v>
      </c>
      <c r="F269" s="33" t="s">
        <v>515</v>
      </c>
      <c r="G269" s="17">
        <v>27880.0</v>
      </c>
      <c r="H269" s="10"/>
      <c r="I269" s="10"/>
      <c r="J269" s="13"/>
      <c r="K269" s="13"/>
      <c r="L269" s="13"/>
      <c r="M269" s="10"/>
      <c r="N269" s="14"/>
      <c r="O269" s="10"/>
      <c r="P269" s="10"/>
      <c r="Q269" s="10"/>
      <c r="R269" s="10"/>
      <c r="S269" s="10"/>
      <c r="T269" s="10"/>
      <c r="U269" s="10"/>
    </row>
    <row r="270" ht="14.25" customHeight="1">
      <c r="A270" s="1"/>
      <c r="B270" s="1"/>
      <c r="C270" s="1"/>
      <c r="D270" s="10"/>
      <c r="E270" s="10"/>
      <c r="F270" s="11" t="s">
        <v>516</v>
      </c>
      <c r="G270" s="15">
        <f>SUM(G262:G269)</f>
        <v>3956880</v>
      </c>
      <c r="H270" s="10"/>
      <c r="I270" s="10"/>
      <c r="J270" s="13"/>
      <c r="K270" s="13"/>
      <c r="L270" s="13"/>
      <c r="M270" s="10"/>
      <c r="N270" s="14"/>
      <c r="O270" s="10"/>
      <c r="P270" s="10"/>
      <c r="Q270" s="10"/>
      <c r="R270" s="10"/>
      <c r="S270" s="10"/>
      <c r="T270" s="10"/>
      <c r="U270" s="10"/>
    </row>
    <row r="271" ht="14.25" customHeight="1">
      <c r="A271" s="1"/>
      <c r="B271" s="1"/>
      <c r="C271" s="1"/>
      <c r="D271" s="10"/>
      <c r="E271" s="39"/>
      <c r="F271" s="45" t="s">
        <v>512</v>
      </c>
      <c r="G271" s="39">
        <f>U262</f>
        <v>3578500</v>
      </c>
      <c r="H271" s="10"/>
      <c r="I271" s="10"/>
      <c r="J271" s="13"/>
      <c r="K271" s="13"/>
      <c r="L271" s="13"/>
      <c r="M271" s="46"/>
      <c r="N271" s="47"/>
      <c r="O271" s="46"/>
      <c r="P271" s="46"/>
      <c r="Q271" s="46"/>
      <c r="R271" s="46"/>
      <c r="S271" s="46"/>
      <c r="T271" s="46"/>
      <c r="U271" s="46"/>
    </row>
    <row r="272" ht="14.25" customHeight="1">
      <c r="A272" s="1"/>
      <c r="B272" s="1"/>
      <c r="C272" s="1"/>
      <c r="D272" s="10" t="s">
        <v>18</v>
      </c>
      <c r="E272" s="48"/>
      <c r="F272" s="10" t="s">
        <v>517</v>
      </c>
      <c r="G272" s="10"/>
      <c r="H272" s="10"/>
      <c r="I272" s="10"/>
      <c r="J272" s="13"/>
      <c r="K272" s="13"/>
      <c r="L272" s="13"/>
      <c r="M272" s="46"/>
      <c r="N272" s="47"/>
      <c r="O272" s="46"/>
      <c r="P272" s="46"/>
      <c r="Q272" s="46"/>
      <c r="R272" s="46"/>
      <c r="S272" s="46"/>
      <c r="T272" s="46"/>
      <c r="U272" s="46"/>
    </row>
    <row r="273" ht="14.25" customHeight="1">
      <c r="A273" s="1"/>
      <c r="B273" s="1"/>
      <c r="C273" s="1"/>
      <c r="D273" s="10" t="s">
        <v>107</v>
      </c>
      <c r="E273" s="22"/>
      <c r="F273" s="8" t="s">
        <v>518</v>
      </c>
      <c r="G273" s="10"/>
      <c r="H273" s="10"/>
      <c r="I273" s="10"/>
      <c r="J273" s="13"/>
      <c r="K273" s="13"/>
      <c r="L273" s="13"/>
      <c r="M273" s="46"/>
      <c r="N273" s="47"/>
      <c r="O273" s="46"/>
      <c r="P273" s="46"/>
      <c r="Q273" s="46"/>
      <c r="R273" s="46"/>
      <c r="S273" s="46"/>
      <c r="T273" s="46"/>
      <c r="U273" s="46"/>
    </row>
    <row r="274" ht="14.25" customHeight="1">
      <c r="A274" s="1"/>
      <c r="B274" s="1"/>
      <c r="C274" s="1"/>
      <c r="D274" s="10" t="s">
        <v>304</v>
      </c>
      <c r="E274" s="39"/>
      <c r="F274" s="10" t="s">
        <v>519</v>
      </c>
      <c r="G274" s="10"/>
      <c r="H274" s="10"/>
      <c r="I274" s="10"/>
      <c r="J274" s="13"/>
      <c r="K274" s="13"/>
      <c r="L274" s="13"/>
      <c r="M274" s="46"/>
      <c r="N274" s="47"/>
      <c r="O274" s="46"/>
      <c r="P274" s="46"/>
      <c r="Q274" s="46"/>
      <c r="R274" s="46"/>
      <c r="S274" s="46"/>
      <c r="T274" s="46"/>
      <c r="U274" s="46"/>
    </row>
    <row r="275" ht="14.25" customHeight="1">
      <c r="A275" s="1"/>
      <c r="B275" s="1"/>
      <c r="C275" s="1"/>
      <c r="D275" s="10" t="s">
        <v>116</v>
      </c>
      <c r="E275" s="10"/>
      <c r="F275" s="10" t="s">
        <v>520</v>
      </c>
      <c r="G275" s="10"/>
      <c r="H275" s="10"/>
      <c r="I275" s="10"/>
      <c r="J275" s="13"/>
      <c r="K275" s="13"/>
      <c r="L275" s="13"/>
      <c r="M275" s="46"/>
      <c r="N275" s="47"/>
      <c r="O275" s="46"/>
      <c r="P275" s="46"/>
      <c r="Q275" s="46"/>
      <c r="R275" s="46"/>
      <c r="S275" s="46"/>
      <c r="T275" s="46"/>
      <c r="U275" s="46"/>
    </row>
    <row r="276" ht="14.25" customHeight="1">
      <c r="A276" s="1"/>
      <c r="B276" s="1"/>
      <c r="C276" s="1"/>
      <c r="D276" s="10" t="s">
        <v>203</v>
      </c>
      <c r="E276" s="8"/>
      <c r="F276" s="10" t="s">
        <v>205</v>
      </c>
      <c r="G276" s="10"/>
      <c r="H276" s="10"/>
      <c r="I276" s="10"/>
      <c r="J276" s="13"/>
      <c r="K276" s="13"/>
      <c r="L276" s="13"/>
      <c r="M276" s="46"/>
      <c r="N276" s="47"/>
      <c r="O276" s="46"/>
      <c r="P276" s="46"/>
      <c r="Q276" s="46"/>
      <c r="R276" s="46"/>
      <c r="S276" s="46"/>
      <c r="T276" s="46"/>
      <c r="U276" s="46"/>
    </row>
  </sheetData>
  <autoFilter ref="$A$1:$U$262"/>
  <dataValidations>
    <dataValidation type="list" allowBlank="1" showErrorMessage="1" sqref="E2:E263 E265:E267 E271:E276">
      <formula1>"A101,A102,A103,A104,A201,A202,A203,A204,A301,A302,A303,A304,A401,A402,A403,A404,A501,A502,A503,A504,A601,A602,A603,A604,A701,A702,A703,A704,A801,A802,A803,A804,A901,A902,A903,A904,A1001,A1002,A1003,A1004,A1101,A1102,A1103,A1104,A1201,A1202,A1203,A1204,A13"&amp;"01,A1302,A1304,B101,B102,B103,B104,B105,B106,B107,B108,B201,B202,B203,B204,B205,B206,B207,B208,B301,B302,B303,B304,B305,B306,B307,B308,B401,B402,B403,B404,B405,B406,B407,B408,B501,B502,B503,B504,B505,B506,B507,B508,B601,B602,B603,B604,B605,B606,B607,B608,"&amp;"B701,B702,B703,B704,B705,B706,B707,B708,B801,B802,B803,B804,B805,B806,B807,B808,B901,B902,B903,B904,B905,B906,B907,B908,B1001,B1002,B1003,B1004,B1005,B1006,B1007,B1008,B1101,B1102,B1103,B1104,B1105,B1106,B1107,B1108,B1201,B1202,B1203,B1204,B1205,B1206,B12"&amp;"07,B1208,B1301,B1302,B1303,B1304,B1305,B1306,B1308,C101,C102,C103,C104,C105,C106,C107,C108,C201,C202,C203,C204,C205,C206,C207,C208,C301,C302,C303,C304,C305,C306,C307,C308,C401,C402,C403,C404,C405,C406,C407,C408,C501,C502,C503,C504,C505,C506,C507,C508,C601"&amp;",C602,C603,C604,C605,C606,C607,C608,C701,C702,C703,C704,C705,C706,C707,C708,C801,C802,C803,C804,C805,C806,C807,C808,C901,C902,C903,C904,C905,C906,C907,C908,C1001,C1002,C1003,C1004,C1005,C1006,C1007,C1008,C1101,C1102,C1103,C1104,C1105,C1106,C1107,C1108,C12"&amp;"01,C1202,C1203,C1204,C1205,C1206,C1207,C1208,C1301,C1302,C1303,C1304,C1305,C1306,C1307,C1308,S-01,S-02,IFMS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0"/>
    <col customWidth="1" min="2" max="2" width="23.5"/>
    <col customWidth="1" min="3" max="3" width="34.25"/>
    <col customWidth="1" min="4" max="4" width="18.5"/>
    <col customWidth="1" min="5" max="6" width="16.88"/>
    <col customWidth="1" min="7" max="7" width="10.5"/>
    <col customWidth="1" min="8" max="8" width="11.63"/>
    <col customWidth="1" min="9" max="9" width="12.13"/>
    <col customWidth="1" min="10" max="10" width="14.38"/>
    <col customWidth="1" min="11" max="11" width="6.63"/>
    <col customWidth="1" min="12" max="12" width="7.25"/>
    <col customWidth="1" min="13" max="14" width="5.13"/>
    <col customWidth="1" min="15" max="15" width="7.63"/>
    <col customWidth="1" min="16" max="16" width="6.0"/>
    <col customWidth="1" min="17" max="18" width="6.13"/>
    <col customWidth="1" min="19" max="19" width="6.0"/>
    <col customWidth="1" min="20" max="20" width="6.13"/>
    <col customWidth="1" min="21" max="21" width="8.13"/>
  </cols>
  <sheetData>
    <row r="1">
      <c r="A1" s="49" t="s">
        <v>521</v>
      </c>
      <c r="E1" s="50"/>
      <c r="F1" s="50"/>
      <c r="G1" s="50"/>
      <c r="H1" s="50"/>
      <c r="I1" s="50"/>
      <c r="J1" s="50"/>
      <c r="K1" s="50"/>
      <c r="L1" s="51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</row>
    <row r="2">
      <c r="A2" s="53"/>
      <c r="B2" s="54"/>
      <c r="C2" s="55"/>
      <c r="D2" s="54"/>
      <c r="E2" s="50"/>
      <c r="F2" s="50"/>
      <c r="G2" s="50"/>
      <c r="H2" s="50"/>
      <c r="I2" s="50"/>
      <c r="J2" s="50"/>
      <c r="K2" s="50"/>
      <c r="L2" s="51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</row>
    <row r="3">
      <c r="A3" s="56">
        <v>1.0</v>
      </c>
      <c r="B3" s="57" t="s">
        <v>522</v>
      </c>
      <c r="C3" s="58"/>
      <c r="D3" s="57" t="s">
        <v>523</v>
      </c>
      <c r="E3" s="59"/>
      <c r="F3" s="59"/>
      <c r="G3" s="59"/>
      <c r="H3" s="59"/>
      <c r="I3" s="60"/>
      <c r="J3" s="59"/>
      <c r="K3" s="60"/>
      <c r="L3" s="59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</row>
    <row r="4">
      <c r="A4" s="62"/>
      <c r="B4" s="63"/>
      <c r="C4" s="64" t="s">
        <v>524</v>
      </c>
      <c r="D4" s="64">
        <v>2.0E7</v>
      </c>
      <c r="E4" s="50"/>
      <c r="F4" s="50"/>
      <c r="G4" s="65"/>
      <c r="H4" s="50"/>
      <c r="I4" s="50"/>
      <c r="J4" s="65"/>
      <c r="K4" s="65"/>
      <c r="L4" s="65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</row>
    <row r="5">
      <c r="A5" s="67"/>
      <c r="B5" s="68"/>
      <c r="C5" s="64" t="s">
        <v>525</v>
      </c>
      <c r="D5" s="64">
        <v>825093.0</v>
      </c>
      <c r="E5" s="50"/>
      <c r="F5" s="50"/>
      <c r="G5" s="65"/>
      <c r="H5" s="50"/>
      <c r="I5" s="50"/>
      <c r="J5" s="65"/>
      <c r="K5" s="65"/>
      <c r="L5" s="65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</row>
    <row r="6">
      <c r="A6" s="67"/>
      <c r="B6" s="68"/>
      <c r="C6" s="64" t="s">
        <v>526</v>
      </c>
      <c r="D6" s="64">
        <v>3938880.0</v>
      </c>
      <c r="E6" s="50"/>
      <c r="F6" s="50"/>
      <c r="G6" s="65"/>
      <c r="H6" s="50"/>
      <c r="I6" s="50"/>
      <c r="J6" s="65"/>
      <c r="K6" s="65"/>
      <c r="L6" s="65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</row>
    <row r="7">
      <c r="A7" s="67"/>
      <c r="B7" s="68"/>
      <c r="C7" s="64" t="s">
        <v>527</v>
      </c>
      <c r="D7" s="64">
        <v>18000.0</v>
      </c>
      <c r="E7" s="50"/>
      <c r="F7" s="50"/>
      <c r="G7" s="65"/>
      <c r="H7" s="50"/>
      <c r="I7" s="50"/>
      <c r="J7" s="65"/>
      <c r="K7" s="65"/>
      <c r="L7" s="65"/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</row>
    <row r="8">
      <c r="A8" s="67"/>
      <c r="B8" s="68"/>
      <c r="C8" s="64" t="s">
        <v>528</v>
      </c>
      <c r="D8" s="64">
        <v>18500.0</v>
      </c>
      <c r="E8" s="50"/>
      <c r="F8" s="50"/>
      <c r="G8" s="65"/>
      <c r="H8" s="50"/>
      <c r="I8" s="50"/>
      <c r="J8" s="65"/>
      <c r="K8" s="65"/>
      <c r="L8" s="65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</row>
    <row r="9">
      <c r="A9" s="62"/>
      <c r="B9" s="69"/>
      <c r="C9" s="64" t="s">
        <v>529</v>
      </c>
      <c r="D9" s="64">
        <v>900.0</v>
      </c>
      <c r="E9" s="50"/>
      <c r="F9" s="50"/>
      <c r="G9" s="65"/>
      <c r="H9" s="50"/>
      <c r="I9" s="50"/>
      <c r="J9" s="65"/>
      <c r="K9" s="65"/>
      <c r="L9" s="65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</row>
    <row r="10">
      <c r="A10" s="62"/>
      <c r="B10" s="69"/>
      <c r="C10" s="64" t="s">
        <v>530</v>
      </c>
      <c r="D10" s="64">
        <v>2090.0</v>
      </c>
      <c r="E10" s="50"/>
      <c r="F10" s="50"/>
      <c r="G10" s="65"/>
      <c r="H10" s="50"/>
      <c r="I10" s="50"/>
      <c r="J10" s="65"/>
      <c r="K10" s="65"/>
      <c r="L10" s="65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</row>
    <row r="11">
      <c r="A11" s="70"/>
      <c r="B11" s="71" t="s">
        <v>531</v>
      </c>
      <c r="C11" s="72"/>
      <c r="D11" s="73">
        <f>SUM(D4:D10)</f>
        <v>24803463</v>
      </c>
      <c r="E11" s="50"/>
      <c r="F11" s="50"/>
      <c r="G11" s="65"/>
      <c r="H11" s="50"/>
      <c r="I11" s="50"/>
      <c r="J11" s="65"/>
      <c r="K11" s="65"/>
      <c r="L11" s="65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</row>
    <row r="12">
      <c r="A12" s="53"/>
      <c r="B12" s="74"/>
      <c r="C12" s="74"/>
      <c r="D12" s="75"/>
      <c r="E12" s="50"/>
      <c r="F12" s="50"/>
      <c r="G12" s="65"/>
      <c r="H12" s="50"/>
      <c r="I12" s="50"/>
      <c r="J12" s="65"/>
      <c r="K12" s="65"/>
      <c r="L12" s="65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</row>
    <row r="13">
      <c r="A13" s="76">
        <v>2.0</v>
      </c>
      <c r="B13" s="77" t="s">
        <v>532</v>
      </c>
      <c r="C13" s="78"/>
      <c r="D13" s="79"/>
      <c r="E13" s="80"/>
      <c r="F13" s="80"/>
      <c r="G13" s="59"/>
      <c r="H13" s="80"/>
      <c r="I13" s="80"/>
      <c r="J13" s="59"/>
      <c r="K13" s="59"/>
      <c r="L13" s="59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</row>
    <row r="14">
      <c r="A14" s="53"/>
      <c r="B14" s="74"/>
      <c r="C14" s="74"/>
      <c r="D14" s="75"/>
      <c r="E14" s="50"/>
      <c r="F14" s="50"/>
      <c r="G14" s="65"/>
      <c r="H14" s="50"/>
      <c r="I14" s="50"/>
      <c r="J14" s="65"/>
      <c r="K14" s="65"/>
      <c r="L14" s="65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</row>
    <row r="15">
      <c r="A15" s="70" t="s">
        <v>533</v>
      </c>
      <c r="B15" s="81" t="s">
        <v>534</v>
      </c>
      <c r="C15" s="81"/>
      <c r="D15" s="82"/>
      <c r="E15" s="50"/>
      <c r="F15" s="50"/>
      <c r="G15" s="65"/>
      <c r="H15" s="50"/>
      <c r="I15" s="50"/>
      <c r="J15" s="65"/>
      <c r="K15" s="65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</row>
    <row r="16">
      <c r="A16" s="83"/>
      <c r="B16" s="82"/>
      <c r="C16" s="81" t="s">
        <v>535</v>
      </c>
      <c r="D16" s="82">
        <f t="shared" ref="D16:D23" si="1">SUM(F16:AAC16)</f>
        <v>19000000</v>
      </c>
      <c r="E16" s="65"/>
      <c r="F16" s="65">
        <v>1.9E7</v>
      </c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84"/>
    </row>
    <row r="17">
      <c r="A17" s="83"/>
      <c r="B17" s="82"/>
      <c r="C17" s="81" t="s">
        <v>536</v>
      </c>
      <c r="D17" s="82">
        <f t="shared" si="1"/>
        <v>84780</v>
      </c>
      <c r="E17" s="66"/>
      <c r="F17" s="74">
        <v>42390.0</v>
      </c>
      <c r="G17" s="74">
        <v>42390.0</v>
      </c>
      <c r="H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84"/>
    </row>
    <row r="18">
      <c r="A18" s="83"/>
      <c r="B18" s="82"/>
      <c r="C18" s="81" t="s">
        <v>537</v>
      </c>
      <c r="D18" s="82">
        <f t="shared" si="1"/>
        <v>35000</v>
      </c>
      <c r="E18" s="66"/>
      <c r="F18" s="84"/>
      <c r="G18" s="74">
        <v>35000.0</v>
      </c>
      <c r="H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84"/>
    </row>
    <row r="19">
      <c r="A19" s="83"/>
      <c r="B19" s="82"/>
      <c r="C19" s="81" t="s">
        <v>538</v>
      </c>
      <c r="D19" s="82">
        <f t="shared" si="1"/>
        <v>27000</v>
      </c>
      <c r="E19" s="66"/>
      <c r="F19" s="74">
        <v>27000.0</v>
      </c>
      <c r="G19" s="66"/>
      <c r="H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84"/>
    </row>
    <row r="20">
      <c r="A20" s="83"/>
      <c r="B20" s="82"/>
      <c r="C20" s="85" t="s">
        <v>539</v>
      </c>
      <c r="D20" s="82">
        <f t="shared" si="1"/>
        <v>3560</v>
      </c>
      <c r="E20" s="86"/>
      <c r="F20" s="86">
        <v>3560.0</v>
      </c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84"/>
    </row>
    <row r="21">
      <c r="A21" s="83"/>
      <c r="B21" s="82"/>
      <c r="C21" s="81" t="s">
        <v>540</v>
      </c>
      <c r="D21" s="82">
        <f t="shared" si="1"/>
        <v>6225</v>
      </c>
      <c r="E21" s="86"/>
      <c r="F21" s="86">
        <v>6225.0</v>
      </c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84"/>
    </row>
    <row r="22">
      <c r="A22" s="83"/>
      <c r="B22" s="82"/>
      <c r="C22" s="81" t="s">
        <v>541</v>
      </c>
      <c r="D22" s="82">
        <f t="shared" si="1"/>
        <v>6350</v>
      </c>
      <c r="E22" s="86"/>
      <c r="F22" s="86">
        <v>6350.0</v>
      </c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84"/>
    </row>
    <row r="23">
      <c r="A23" s="83"/>
      <c r="B23" s="82"/>
      <c r="C23" s="81" t="s">
        <v>542</v>
      </c>
      <c r="D23" s="82">
        <f t="shared" si="1"/>
        <v>18000</v>
      </c>
      <c r="E23" s="74"/>
      <c r="F23" s="74">
        <v>18000.0</v>
      </c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84"/>
    </row>
    <row r="24">
      <c r="A24" s="83"/>
      <c r="B24" s="82"/>
      <c r="C24" s="82"/>
      <c r="D24" s="82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84"/>
    </row>
    <row r="25">
      <c r="A25" s="87"/>
      <c r="B25" s="88" t="s">
        <v>543</v>
      </c>
      <c r="C25" s="89">
        <f>SUM(D16:D24)</f>
        <v>19180915</v>
      </c>
      <c r="D25" s="90"/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84"/>
    </row>
    <row r="27">
      <c r="A27" s="53"/>
      <c r="B27" s="74"/>
      <c r="C27" s="75"/>
      <c r="D27" s="75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84"/>
    </row>
    <row r="28">
      <c r="A28" s="70" t="s">
        <v>544</v>
      </c>
      <c r="B28" s="68" t="s">
        <v>545</v>
      </c>
      <c r="C28" s="82"/>
      <c r="D28" s="82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84"/>
    </row>
    <row r="29">
      <c r="A29" s="83"/>
      <c r="B29" s="82"/>
      <c r="C29" s="81" t="s">
        <v>546</v>
      </c>
      <c r="D29" s="82">
        <f t="shared" ref="D29:D36" si="2">SUM(F29:AAC29)</f>
        <v>414000</v>
      </c>
      <c r="E29" s="74"/>
      <c r="F29" s="74">
        <v>69000.0</v>
      </c>
      <c r="G29" s="74">
        <v>69000.0</v>
      </c>
      <c r="H29" s="74">
        <v>69000.0</v>
      </c>
      <c r="I29" s="74">
        <v>69000.0</v>
      </c>
      <c r="J29" s="74">
        <v>69000.0</v>
      </c>
      <c r="K29" s="91">
        <v>69000.0</v>
      </c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84"/>
    </row>
    <row r="30">
      <c r="A30" s="83"/>
      <c r="B30" s="82"/>
      <c r="C30" s="81" t="s">
        <v>547</v>
      </c>
      <c r="D30" s="82">
        <f t="shared" si="2"/>
        <v>838191</v>
      </c>
      <c r="E30" s="74"/>
      <c r="F30" s="74">
        <v>140420.0</v>
      </c>
      <c r="G30" s="74">
        <v>139107.0</v>
      </c>
      <c r="H30" s="74">
        <v>140420.0</v>
      </c>
      <c r="I30" s="74">
        <v>137906.0</v>
      </c>
      <c r="J30" s="74">
        <v>139918.0</v>
      </c>
      <c r="K30" s="91">
        <v>140420.0</v>
      </c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84"/>
    </row>
    <row r="31">
      <c r="A31" s="83"/>
      <c r="B31" s="82"/>
      <c r="C31" s="81" t="s">
        <v>548</v>
      </c>
      <c r="D31" s="82">
        <f t="shared" si="2"/>
        <v>211657</v>
      </c>
      <c r="E31" s="74"/>
      <c r="F31" s="74">
        <v>11269.0</v>
      </c>
      <c r="G31" s="74">
        <v>10193.0</v>
      </c>
      <c r="H31" s="74">
        <v>13850.0</v>
      </c>
      <c r="I31" s="74">
        <v>11072.0</v>
      </c>
      <c r="J31" s="74">
        <v>22593.0</v>
      </c>
      <c r="K31" s="74">
        <v>12702.0</v>
      </c>
      <c r="L31" s="74">
        <v>13846.0</v>
      </c>
      <c r="M31" s="74">
        <v>9559.0</v>
      </c>
      <c r="N31" s="74">
        <v>9994.0</v>
      </c>
      <c r="O31" s="74">
        <v>8330.0</v>
      </c>
      <c r="P31" s="74">
        <v>11396.0</v>
      </c>
      <c r="Q31" s="74">
        <v>12316.0</v>
      </c>
      <c r="R31" s="74">
        <v>22886.0</v>
      </c>
      <c r="S31" s="74">
        <v>11048.0</v>
      </c>
      <c r="T31" s="74">
        <v>10610.0</v>
      </c>
      <c r="U31" s="91">
        <v>10523.0</v>
      </c>
      <c r="V31" s="91">
        <v>9470.0</v>
      </c>
      <c r="W31" s="66"/>
      <c r="X31" s="66"/>
      <c r="Y31" s="66"/>
      <c r="Z31" s="66"/>
      <c r="AA31" s="66"/>
      <c r="AB31" s="66"/>
      <c r="AC31" s="66"/>
      <c r="AD31" s="84"/>
    </row>
    <row r="32">
      <c r="A32" s="83"/>
      <c r="B32" s="82"/>
      <c r="C32" s="81" t="s">
        <v>549</v>
      </c>
      <c r="D32" s="82">
        <f t="shared" si="2"/>
        <v>84000</v>
      </c>
      <c r="E32" s="74"/>
      <c r="F32" s="74">
        <v>14000.0</v>
      </c>
      <c r="G32" s="74">
        <v>14000.0</v>
      </c>
      <c r="H32" s="74">
        <v>14000.0</v>
      </c>
      <c r="I32" s="74">
        <v>14000.0</v>
      </c>
      <c r="J32" s="74">
        <v>14000.0</v>
      </c>
      <c r="K32" s="91">
        <v>14000.0</v>
      </c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84"/>
    </row>
    <row r="33">
      <c r="A33" s="83"/>
      <c r="B33" s="82"/>
      <c r="C33" s="81" t="s">
        <v>550</v>
      </c>
      <c r="D33" s="82">
        <f t="shared" si="2"/>
        <v>90000</v>
      </c>
      <c r="E33" s="74"/>
      <c r="F33" s="74">
        <v>15000.0</v>
      </c>
      <c r="G33" s="74">
        <v>15000.0</v>
      </c>
      <c r="H33" s="74">
        <v>15000.0</v>
      </c>
      <c r="I33" s="74">
        <v>15000.0</v>
      </c>
      <c r="J33" s="74">
        <v>15000.0</v>
      </c>
      <c r="K33" s="91">
        <v>15000.0</v>
      </c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84"/>
    </row>
    <row r="34">
      <c r="A34" s="83"/>
      <c r="B34" s="82"/>
      <c r="C34" s="81" t="s">
        <v>551</v>
      </c>
      <c r="D34" s="82">
        <f t="shared" si="2"/>
        <v>242854</v>
      </c>
      <c r="E34" s="74"/>
      <c r="F34" s="74">
        <v>27084.0</v>
      </c>
      <c r="G34" s="74">
        <v>39667.0</v>
      </c>
      <c r="H34" s="74">
        <v>40625.0</v>
      </c>
      <c r="I34" s="74">
        <v>46315.0</v>
      </c>
      <c r="J34" s="74">
        <v>48053.0</v>
      </c>
      <c r="K34" s="91">
        <v>41110.0</v>
      </c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84"/>
    </row>
    <row r="35">
      <c r="A35" s="83"/>
      <c r="B35" s="82"/>
      <c r="C35" s="81" t="s">
        <v>552</v>
      </c>
      <c r="D35" s="82">
        <f t="shared" si="2"/>
        <v>297948</v>
      </c>
      <c r="E35" s="74"/>
      <c r="F35" s="74">
        <v>48147.0</v>
      </c>
      <c r="G35" s="74">
        <v>52852.0</v>
      </c>
      <c r="H35" s="74">
        <v>45355.0</v>
      </c>
      <c r="I35" s="74">
        <v>53857.0</v>
      </c>
      <c r="J35" s="74">
        <v>52779.0</v>
      </c>
      <c r="K35" s="91">
        <v>44958.0</v>
      </c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84"/>
    </row>
    <row r="36">
      <c r="A36" s="83"/>
      <c r="B36" s="82"/>
      <c r="C36" s="81" t="s">
        <v>553</v>
      </c>
      <c r="D36" s="82">
        <f t="shared" si="2"/>
        <v>42000</v>
      </c>
      <c r="E36" s="91"/>
      <c r="F36" s="74">
        <v>7000.0</v>
      </c>
      <c r="G36" s="74">
        <v>7000.0</v>
      </c>
      <c r="H36" s="74">
        <v>7000.0</v>
      </c>
      <c r="I36" s="74">
        <v>7000.0</v>
      </c>
      <c r="J36" s="92">
        <v>7000.0</v>
      </c>
      <c r="K36" s="91">
        <v>7000.0</v>
      </c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84"/>
    </row>
    <row r="37">
      <c r="A37" s="70"/>
      <c r="B37" s="71" t="s">
        <v>554</v>
      </c>
      <c r="C37" s="73">
        <f>SUM(D29:D36)</f>
        <v>2220650</v>
      </c>
      <c r="D37" s="90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84"/>
    </row>
    <row r="39">
      <c r="A39" s="70" t="s">
        <v>555</v>
      </c>
      <c r="B39" s="68" t="s">
        <v>556</v>
      </c>
      <c r="C39" s="82"/>
      <c r="D39" s="82"/>
      <c r="E39" s="66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84"/>
    </row>
    <row r="40">
      <c r="A40" s="67"/>
      <c r="B40" s="81"/>
      <c r="C40" s="81" t="s">
        <v>557</v>
      </c>
      <c r="D40" s="82">
        <f t="shared" ref="D40:D45" si="3">SUM(F40:AAC40)</f>
        <v>28000</v>
      </c>
      <c r="E40" s="84"/>
      <c r="F40" s="74">
        <v>20000.0</v>
      </c>
      <c r="G40" s="74">
        <v>8000.0</v>
      </c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84"/>
    </row>
    <row r="41">
      <c r="A41" s="67"/>
      <c r="B41" s="81"/>
      <c r="C41" s="81" t="s">
        <v>558</v>
      </c>
      <c r="D41" s="82">
        <f t="shared" si="3"/>
        <v>20000</v>
      </c>
      <c r="E41" s="66"/>
      <c r="F41" s="66"/>
      <c r="G41" s="74">
        <v>20000.0</v>
      </c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84"/>
    </row>
    <row r="42">
      <c r="A42" s="67"/>
      <c r="B42" s="81"/>
      <c r="C42" s="85" t="s">
        <v>559</v>
      </c>
      <c r="D42" s="82">
        <f t="shared" si="3"/>
        <v>13900</v>
      </c>
      <c r="E42" s="66"/>
      <c r="F42" s="66"/>
      <c r="G42" s="74">
        <v>13900.0</v>
      </c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84"/>
    </row>
    <row r="43">
      <c r="A43" s="67"/>
      <c r="B43" s="81"/>
      <c r="C43" s="81" t="s">
        <v>560</v>
      </c>
      <c r="D43" s="82">
        <f t="shared" si="3"/>
        <v>13000</v>
      </c>
      <c r="E43" s="66"/>
      <c r="F43" s="74">
        <v>3400.0</v>
      </c>
      <c r="G43" s="86">
        <v>6200.0</v>
      </c>
      <c r="H43" s="86">
        <v>3400.0</v>
      </c>
      <c r="I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84"/>
    </row>
    <row r="44">
      <c r="A44" s="67"/>
      <c r="B44" s="81"/>
      <c r="C44" s="81" t="s">
        <v>561</v>
      </c>
      <c r="D44" s="82">
        <f t="shared" si="3"/>
        <v>50000</v>
      </c>
      <c r="E44" s="66"/>
      <c r="F44" s="74">
        <v>50000.0</v>
      </c>
      <c r="G44" s="66"/>
      <c r="H44" s="66"/>
      <c r="I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84"/>
    </row>
    <row r="45">
      <c r="A45" s="67"/>
      <c r="B45" s="81"/>
      <c r="C45" s="81" t="s">
        <v>562</v>
      </c>
      <c r="D45" s="82">
        <f t="shared" si="3"/>
        <v>14116</v>
      </c>
      <c r="E45" s="74"/>
      <c r="F45" s="74">
        <v>14116.0</v>
      </c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84"/>
    </row>
    <row r="46">
      <c r="A46" s="67"/>
      <c r="B46" s="81"/>
      <c r="C46" s="81"/>
      <c r="D46" s="82"/>
      <c r="E46" s="74"/>
      <c r="F46" s="91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84"/>
    </row>
    <row r="47">
      <c r="A47" s="70"/>
      <c r="B47" s="71" t="s">
        <v>563</v>
      </c>
      <c r="C47" s="73">
        <f>SUM(D40:D45)</f>
        <v>139016</v>
      </c>
      <c r="D47" s="82"/>
      <c r="E47" s="74"/>
      <c r="F47" s="74"/>
      <c r="G47" s="93"/>
      <c r="H47" s="93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84"/>
    </row>
    <row r="49">
      <c r="A49" s="53"/>
      <c r="B49" s="74"/>
      <c r="C49" s="74"/>
      <c r="D49" s="75"/>
      <c r="E49" s="74"/>
      <c r="F49" s="74"/>
      <c r="G49" s="93"/>
      <c r="H49" s="93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84"/>
    </row>
    <row r="50">
      <c r="A50" s="70" t="s">
        <v>564</v>
      </c>
      <c r="B50" s="81" t="s">
        <v>565</v>
      </c>
      <c r="C50" s="85" t="s">
        <v>566</v>
      </c>
      <c r="D50" s="82">
        <f t="shared" ref="D50:D54" si="4">SUM(F50:AAC50)</f>
        <v>342000</v>
      </c>
      <c r="E50" s="91"/>
      <c r="F50" s="74">
        <v>342000.0</v>
      </c>
      <c r="G50" s="94"/>
      <c r="H50" s="93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84"/>
    </row>
    <row r="51">
      <c r="A51" s="83"/>
      <c r="B51" s="82"/>
      <c r="C51" s="85" t="s">
        <v>567</v>
      </c>
      <c r="D51" s="82">
        <f t="shared" si="4"/>
        <v>139786</v>
      </c>
      <c r="E51" s="66"/>
      <c r="F51" s="86">
        <v>139786.0</v>
      </c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84"/>
    </row>
    <row r="52">
      <c r="A52" s="83"/>
      <c r="B52" s="82"/>
      <c r="C52" s="81" t="s">
        <v>568</v>
      </c>
      <c r="D52" s="82">
        <f t="shared" si="4"/>
        <v>0</v>
      </c>
      <c r="E52" s="66"/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84"/>
    </row>
    <row r="53">
      <c r="A53" s="83"/>
      <c r="B53" s="82"/>
      <c r="C53" s="81" t="s">
        <v>569</v>
      </c>
      <c r="D53" s="82">
        <f t="shared" si="4"/>
        <v>17700</v>
      </c>
      <c r="E53" s="74"/>
      <c r="F53" s="74">
        <v>17700.0</v>
      </c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84"/>
    </row>
    <row r="54">
      <c r="A54" s="83"/>
      <c r="B54" s="82"/>
      <c r="C54" s="81" t="s">
        <v>570</v>
      </c>
      <c r="D54" s="82">
        <f t="shared" si="4"/>
        <v>88000</v>
      </c>
      <c r="E54" s="74"/>
      <c r="F54" s="74">
        <v>88000.0</v>
      </c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84"/>
    </row>
    <row r="55">
      <c r="A55" s="70"/>
      <c r="B55" s="71" t="s">
        <v>571</v>
      </c>
      <c r="C55" s="73">
        <f>SUM(D50:D54)</f>
        <v>587486</v>
      </c>
      <c r="D55" s="82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84"/>
    </row>
    <row r="57">
      <c r="A57" s="95"/>
      <c r="B57" s="91"/>
      <c r="C57" s="91"/>
      <c r="D57" s="91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84"/>
    </row>
    <row r="58">
      <c r="A58" s="96">
        <v>3.0</v>
      </c>
      <c r="B58" s="97" t="s">
        <v>572</v>
      </c>
      <c r="C58" s="58"/>
      <c r="D58" s="98"/>
      <c r="E58" s="99"/>
      <c r="F58" s="99"/>
      <c r="G58" s="99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61"/>
      <c r="AB58" s="61"/>
      <c r="AC58" s="61"/>
      <c r="AD58" s="80"/>
    </row>
    <row r="59">
      <c r="A59" s="100"/>
      <c r="B59" s="101"/>
      <c r="C59" s="102"/>
      <c r="D59" s="103"/>
      <c r="H59" s="66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84"/>
    </row>
    <row r="60">
      <c r="A60" s="100"/>
      <c r="B60" s="101" t="s">
        <v>573</v>
      </c>
      <c r="C60" s="102"/>
      <c r="D60" s="103"/>
      <c r="H60" s="66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84"/>
    </row>
    <row r="61">
      <c r="A61" s="104"/>
      <c r="B61" s="105" t="s">
        <v>574</v>
      </c>
      <c r="C61" s="82">
        <f t="shared" ref="C61:C76" si="5">SUM(E61:AAB61)</f>
        <v>2140</v>
      </c>
      <c r="E61" s="106">
        <v>2140.0</v>
      </c>
      <c r="H61" s="66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84"/>
    </row>
    <row r="62">
      <c r="A62" s="104"/>
      <c r="B62" s="105" t="s">
        <v>575</v>
      </c>
      <c r="C62" s="82">
        <f t="shared" si="5"/>
        <v>17359</v>
      </c>
      <c r="E62" s="106">
        <v>1150.0</v>
      </c>
      <c r="F62" s="106">
        <v>825.0</v>
      </c>
      <c r="G62" s="106">
        <v>3389.0</v>
      </c>
      <c r="H62" s="86">
        <v>4972.0</v>
      </c>
      <c r="I62" s="86">
        <v>1990.0</v>
      </c>
      <c r="J62" s="86">
        <v>2605.0</v>
      </c>
      <c r="K62" s="86">
        <v>2428.0</v>
      </c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84"/>
    </row>
    <row r="63">
      <c r="A63" s="104"/>
      <c r="B63" s="105" t="s">
        <v>576</v>
      </c>
      <c r="C63" s="82">
        <f t="shared" si="5"/>
        <v>6050</v>
      </c>
      <c r="E63" s="106">
        <v>300.0</v>
      </c>
      <c r="F63" s="106">
        <v>1070.0</v>
      </c>
      <c r="G63" s="106">
        <v>1680.0</v>
      </c>
      <c r="H63" s="86">
        <v>640.0</v>
      </c>
      <c r="I63" s="86">
        <v>360.0</v>
      </c>
      <c r="J63" s="86">
        <v>2000.0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84"/>
    </row>
    <row r="64">
      <c r="A64" s="104"/>
      <c r="B64" s="105" t="s">
        <v>577</v>
      </c>
      <c r="C64" s="82">
        <f t="shared" si="5"/>
        <v>2000</v>
      </c>
      <c r="E64" s="106">
        <v>2000.0</v>
      </c>
      <c r="H64" s="66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84"/>
    </row>
    <row r="65">
      <c r="A65" s="104"/>
      <c r="B65" s="105" t="s">
        <v>578</v>
      </c>
      <c r="C65" s="82">
        <f t="shared" si="5"/>
        <v>560</v>
      </c>
      <c r="E65" s="106">
        <v>370.0</v>
      </c>
      <c r="F65" s="106">
        <v>190.0</v>
      </c>
      <c r="H65" s="66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84"/>
    </row>
    <row r="66">
      <c r="A66" s="104"/>
      <c r="B66" s="105" t="s">
        <v>579</v>
      </c>
      <c r="C66" s="82">
        <f t="shared" si="5"/>
        <v>800</v>
      </c>
      <c r="E66" s="106">
        <v>500.0</v>
      </c>
      <c r="F66" s="106">
        <v>300.0</v>
      </c>
      <c r="H66" s="66"/>
      <c r="I66" s="66"/>
      <c r="J66" s="66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84"/>
    </row>
    <row r="67">
      <c r="A67" s="104"/>
      <c r="B67" s="107" t="s">
        <v>580</v>
      </c>
      <c r="C67" s="82">
        <f t="shared" si="5"/>
        <v>4990</v>
      </c>
      <c r="E67" s="106">
        <v>900.0</v>
      </c>
      <c r="F67" s="106">
        <v>180.0</v>
      </c>
      <c r="G67" s="106">
        <v>585.0</v>
      </c>
      <c r="H67" s="86">
        <v>870.0</v>
      </c>
      <c r="I67" s="86">
        <v>1705.0</v>
      </c>
      <c r="J67" s="86">
        <v>750.0</v>
      </c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84"/>
    </row>
    <row r="68">
      <c r="A68" s="104"/>
      <c r="B68" s="107" t="s">
        <v>581</v>
      </c>
      <c r="C68" s="82">
        <f t="shared" si="5"/>
        <v>8750</v>
      </c>
      <c r="E68" s="106">
        <v>8750.0</v>
      </c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84"/>
    </row>
    <row r="69">
      <c r="A69" s="104"/>
      <c r="B69" s="107" t="s">
        <v>582</v>
      </c>
      <c r="C69" s="82">
        <f t="shared" si="5"/>
        <v>2950</v>
      </c>
      <c r="E69" s="106">
        <v>1040.0</v>
      </c>
      <c r="F69" s="106">
        <v>620.0</v>
      </c>
      <c r="G69" s="106">
        <v>840.0</v>
      </c>
      <c r="H69" s="86">
        <v>450.0</v>
      </c>
      <c r="I69" s="66"/>
      <c r="J69" s="66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84"/>
    </row>
    <row r="70">
      <c r="A70" s="104"/>
      <c r="B70" s="107" t="s">
        <v>583</v>
      </c>
      <c r="C70" s="82">
        <f t="shared" si="5"/>
        <v>130</v>
      </c>
      <c r="E70" s="106">
        <v>80.0</v>
      </c>
      <c r="F70" s="106">
        <v>50.0</v>
      </c>
      <c r="G70" s="106"/>
      <c r="H70" s="66"/>
      <c r="I70" s="66"/>
      <c r="J70" s="66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84"/>
    </row>
    <row r="71">
      <c r="A71" s="104"/>
      <c r="B71" s="107" t="s">
        <v>584</v>
      </c>
      <c r="C71" s="82">
        <f t="shared" si="5"/>
        <v>2000</v>
      </c>
      <c r="E71" s="106">
        <v>2000.0</v>
      </c>
      <c r="H71" s="66"/>
      <c r="I71" s="66"/>
      <c r="J71" s="66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84"/>
    </row>
    <row r="72">
      <c r="A72" s="104"/>
      <c r="B72" s="107" t="s">
        <v>585</v>
      </c>
      <c r="C72" s="82">
        <f t="shared" si="5"/>
        <v>1249</v>
      </c>
      <c r="E72" s="106">
        <v>1249.0</v>
      </c>
      <c r="H72" s="66"/>
      <c r="I72" s="66"/>
      <c r="J72" s="66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84"/>
    </row>
    <row r="73">
      <c r="A73" s="104"/>
      <c r="B73" s="107" t="s">
        <v>586</v>
      </c>
      <c r="C73" s="82">
        <f t="shared" si="5"/>
        <v>500</v>
      </c>
      <c r="E73" s="106">
        <v>500.0</v>
      </c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84"/>
    </row>
    <row r="74">
      <c r="A74" s="104"/>
      <c r="B74" s="107" t="s">
        <v>587</v>
      </c>
      <c r="C74" s="82">
        <f t="shared" si="5"/>
        <v>400</v>
      </c>
      <c r="E74" s="106">
        <v>400.0</v>
      </c>
      <c r="H74" s="66"/>
      <c r="I74" s="66"/>
      <c r="J74" s="66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84"/>
    </row>
    <row r="75">
      <c r="A75" s="104"/>
      <c r="B75" s="107" t="s">
        <v>588</v>
      </c>
      <c r="C75" s="82">
        <f t="shared" si="5"/>
        <v>1315</v>
      </c>
      <c r="E75" s="106">
        <v>1315.0</v>
      </c>
      <c r="H75" s="66"/>
      <c r="I75" s="66"/>
      <c r="J75" s="66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84"/>
    </row>
    <row r="76">
      <c r="A76" s="70"/>
      <c r="B76" s="107" t="s">
        <v>589</v>
      </c>
      <c r="C76" s="82">
        <f t="shared" si="5"/>
        <v>900</v>
      </c>
      <c r="E76" s="106">
        <v>500.0</v>
      </c>
      <c r="F76" s="106">
        <v>400.0</v>
      </c>
      <c r="H76" s="66"/>
      <c r="I76" s="66"/>
      <c r="J76" s="66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84"/>
    </row>
    <row r="77">
      <c r="A77" s="70"/>
      <c r="B77" s="63"/>
      <c r="C77" s="102"/>
      <c r="D77" s="108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84"/>
    </row>
    <row r="78">
      <c r="A78" s="70"/>
      <c r="B78" s="64" t="s">
        <v>590</v>
      </c>
      <c r="C78" s="64">
        <f>SUM(C61:C76)</f>
        <v>52093</v>
      </c>
      <c r="H78" s="66"/>
      <c r="I78" s="66"/>
      <c r="J78" s="66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84"/>
    </row>
    <row r="79">
      <c r="A79" s="70"/>
      <c r="B79" s="64" t="s">
        <v>591</v>
      </c>
      <c r="C79" s="109">
        <v>53090.0</v>
      </c>
      <c r="H79" s="66"/>
      <c r="I79" s="66"/>
      <c r="J79" s="66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84"/>
    </row>
    <row r="80">
      <c r="A80" s="70"/>
      <c r="B80" s="64" t="s">
        <v>592</v>
      </c>
      <c r="C80" s="109">
        <v>20000.0</v>
      </c>
      <c r="H80" s="66"/>
      <c r="I80" s="66"/>
      <c r="J80" s="66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84"/>
    </row>
    <row r="81">
      <c r="A81" s="95"/>
      <c r="C81" s="110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84"/>
    </row>
    <row r="82">
      <c r="A82" s="111"/>
      <c r="B82" s="112" t="s">
        <v>593</v>
      </c>
      <c r="C82" s="113">
        <v>20997.0</v>
      </c>
      <c r="H82" s="66"/>
      <c r="I82" s="66"/>
      <c r="J82" s="66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84"/>
    </row>
    <row r="83">
      <c r="A83" s="111"/>
      <c r="B83" s="112" t="s">
        <v>594</v>
      </c>
      <c r="C83" s="112">
        <v>2664000.0</v>
      </c>
      <c r="D83" s="108"/>
      <c r="H83" s="66"/>
      <c r="I83" s="66"/>
      <c r="J83" s="66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84"/>
    </row>
    <row r="84">
      <c r="A84" s="114"/>
      <c r="B84" s="112" t="s">
        <v>595</v>
      </c>
      <c r="C84" s="112">
        <v>10303.0</v>
      </c>
    </row>
    <row r="85">
      <c r="A85" s="95"/>
      <c r="B85" s="108"/>
      <c r="C85" s="108"/>
      <c r="D85" s="103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84"/>
    </row>
    <row r="86">
      <c r="A86" s="115"/>
      <c r="B86" s="108"/>
      <c r="C86" s="108"/>
      <c r="D86" s="103"/>
      <c r="H86" s="66"/>
      <c r="I86" s="66"/>
      <c r="J86" s="66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84"/>
    </row>
    <row r="87">
      <c r="A87" s="116">
        <v>4.0</v>
      </c>
      <c r="B87" s="117" t="s">
        <v>596</v>
      </c>
      <c r="C87" s="117"/>
      <c r="D87" s="103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84"/>
    </row>
    <row r="88">
      <c r="A88" s="118"/>
      <c r="B88" s="119" t="s">
        <v>597</v>
      </c>
      <c r="C88" s="64">
        <f>C100+C99+C98+C97+C101</f>
        <v>521069.5</v>
      </c>
      <c r="D88" s="103"/>
      <c r="H88" s="66"/>
      <c r="I88" s="66"/>
      <c r="J88" s="66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84"/>
    </row>
    <row r="89">
      <c r="A89" s="62"/>
      <c r="B89" s="120"/>
      <c r="C89" s="120"/>
      <c r="D89" s="103"/>
      <c r="H89" s="66"/>
      <c r="I89" s="66"/>
      <c r="J89" s="66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84"/>
    </row>
    <row r="90">
      <c r="A90" s="121"/>
      <c r="B90" s="119" t="s">
        <v>598</v>
      </c>
      <c r="C90" s="64">
        <f>C88/258</f>
        <v>2019.649225</v>
      </c>
      <c r="D90" s="103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  <c r="AC90" s="75"/>
      <c r="AD90" s="122"/>
    </row>
    <row r="91">
      <c r="A91" s="123"/>
      <c r="B91" s="124" t="s">
        <v>599</v>
      </c>
      <c r="C91" s="120">
        <f>(D31+D45)/6</f>
        <v>37628.83333</v>
      </c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84"/>
    </row>
    <row r="92">
      <c r="A92" s="121"/>
      <c r="B92" s="119" t="s">
        <v>600</v>
      </c>
      <c r="C92" s="64">
        <f>(C88-C91)/258</f>
        <v>1873.801034</v>
      </c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84"/>
    </row>
    <row r="93">
      <c r="A93" s="62"/>
      <c r="B93" s="63"/>
      <c r="C93" s="63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84"/>
    </row>
    <row r="94">
      <c r="A94" s="67"/>
      <c r="B94" s="63"/>
      <c r="C94" s="63"/>
      <c r="D94" s="74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84"/>
    </row>
    <row r="95">
      <c r="A95" s="67"/>
      <c r="B95" s="63"/>
      <c r="C95" s="63"/>
      <c r="D95" s="91"/>
      <c r="E95" s="66"/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84"/>
    </row>
    <row r="96">
      <c r="A96" s="67"/>
      <c r="B96" s="63"/>
      <c r="C96" s="63"/>
      <c r="D96" s="91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84"/>
    </row>
    <row r="97">
      <c r="A97" s="125"/>
      <c r="B97" s="126" t="s">
        <v>601</v>
      </c>
      <c r="C97" s="127">
        <f>(C25-19000000)/6</f>
        <v>30152.5</v>
      </c>
      <c r="D97" s="75"/>
      <c r="E97" s="66"/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84"/>
    </row>
    <row r="98">
      <c r="A98" s="121"/>
      <c r="B98" s="119" t="s">
        <v>602</v>
      </c>
      <c r="C98" s="102">
        <f>C37/6</f>
        <v>370108.3333</v>
      </c>
      <c r="D98" s="91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84"/>
    </row>
    <row r="99">
      <c r="A99" s="121"/>
      <c r="B99" s="119" t="s">
        <v>603</v>
      </c>
      <c r="C99" s="102">
        <f>C47/6</f>
        <v>23169.33333</v>
      </c>
      <c r="D99" s="91"/>
      <c r="E99" s="74"/>
      <c r="F99" s="74"/>
      <c r="G99" s="93"/>
      <c r="H99" s="93"/>
      <c r="I99" s="66"/>
      <c r="J99" s="66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84"/>
    </row>
    <row r="100">
      <c r="A100" s="121"/>
      <c r="B100" s="119" t="s">
        <v>604</v>
      </c>
      <c r="C100" s="102">
        <f>(C55+340000+140000)/12</f>
        <v>88957.16667</v>
      </c>
      <c r="D100" s="91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84"/>
    </row>
    <row r="101">
      <c r="A101" s="70"/>
      <c r="B101" s="64" t="s">
        <v>605</v>
      </c>
      <c r="C101" s="63">
        <f>C78/6</f>
        <v>8682.166667</v>
      </c>
      <c r="D101" s="108"/>
      <c r="H101" s="66"/>
      <c r="I101" s="66"/>
      <c r="J101" s="66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84"/>
    </row>
    <row r="102">
      <c r="A102" s="53"/>
      <c r="B102" s="74"/>
      <c r="C102" s="75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84"/>
    </row>
    <row r="103">
      <c r="A103" s="53"/>
      <c r="B103" s="74" t="s">
        <v>606</v>
      </c>
      <c r="C103" s="75"/>
      <c r="D103" s="75">
        <f>SUM(D12:D101)+C83+C84-D11</f>
        <v>-1093</v>
      </c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84"/>
    </row>
    <row r="104">
      <c r="A104" s="128"/>
      <c r="B104" s="129"/>
      <c r="C104" s="129"/>
      <c r="D104" s="129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84"/>
    </row>
    <row r="105">
      <c r="A105" s="95"/>
      <c r="B105" s="91"/>
      <c r="C105" s="75"/>
      <c r="D105" s="74"/>
      <c r="E105" s="86"/>
      <c r="F105" s="86"/>
      <c r="G105" s="86"/>
      <c r="H105" s="66"/>
      <c r="I105" s="66"/>
      <c r="J105" s="66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84"/>
    </row>
    <row r="106">
      <c r="A106" s="95"/>
      <c r="B106" s="130" t="s">
        <v>607</v>
      </c>
      <c r="C106" s="74">
        <v>-124700.0</v>
      </c>
      <c r="D106" s="86">
        <v>-30000.0</v>
      </c>
      <c r="E106" s="86" t="s">
        <v>608</v>
      </c>
      <c r="H106" s="66"/>
      <c r="I106" s="66"/>
      <c r="J106" s="66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84"/>
    </row>
    <row r="107">
      <c r="A107" s="131"/>
      <c r="B107" s="75"/>
      <c r="C107" s="75"/>
      <c r="D107" s="86">
        <v>-100000.0</v>
      </c>
      <c r="E107" s="86" t="s">
        <v>609</v>
      </c>
      <c r="H107" s="66"/>
      <c r="I107" s="66"/>
      <c r="J107" s="66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84"/>
    </row>
    <row r="108">
      <c r="A108" s="131"/>
      <c r="B108" s="75"/>
      <c r="C108" s="75"/>
      <c r="D108" s="86">
        <v>-900.0</v>
      </c>
      <c r="E108" s="86" t="s">
        <v>610</v>
      </c>
      <c r="H108" s="66"/>
      <c r="I108" s="66"/>
      <c r="J108" s="66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84"/>
    </row>
    <row r="109">
      <c r="A109" s="131"/>
      <c r="B109" s="75"/>
      <c r="C109" s="75"/>
      <c r="D109" s="86">
        <v>6200.0</v>
      </c>
      <c r="E109" s="86" t="s">
        <v>611</v>
      </c>
      <c r="H109" s="66"/>
      <c r="I109" s="66"/>
      <c r="J109" s="66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</row>
    <row r="110">
      <c r="A110" s="131"/>
      <c r="B110" s="75"/>
      <c r="C110" s="75"/>
      <c r="D110" s="75"/>
      <c r="E110" s="66"/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</row>
    <row r="111">
      <c r="A111" s="131"/>
      <c r="B111" s="75"/>
      <c r="C111" s="75"/>
      <c r="D111" s="75"/>
      <c r="E111" s="66"/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</row>
    <row r="112">
      <c r="A112" s="131"/>
      <c r="B112" s="75"/>
      <c r="C112" s="75"/>
      <c r="D112" s="75"/>
      <c r="E112" s="66"/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</row>
    <row r="113">
      <c r="A113" s="131"/>
      <c r="B113" s="75"/>
      <c r="C113" s="75"/>
      <c r="D113" s="75"/>
      <c r="E113" s="66"/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</row>
    <row r="114">
      <c r="A114" s="131"/>
      <c r="B114" s="75"/>
      <c r="C114" s="75"/>
      <c r="D114" s="75"/>
      <c r="E114" s="66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</row>
    <row r="115">
      <c r="A115" s="131"/>
      <c r="B115" s="75"/>
      <c r="C115" s="75"/>
      <c r="D115" s="75"/>
      <c r="E115" s="66"/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</row>
    <row r="116">
      <c r="A116" s="131"/>
      <c r="B116" s="75"/>
      <c r="C116" s="75"/>
      <c r="D116" s="75"/>
      <c r="E116" s="66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</row>
    <row r="117">
      <c r="A117" s="131"/>
      <c r="B117" s="75"/>
      <c r="C117" s="75"/>
      <c r="D117" s="75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</row>
    <row r="118">
      <c r="A118" s="131"/>
      <c r="B118" s="75"/>
      <c r="C118" s="75"/>
      <c r="D118" s="75"/>
      <c r="E118" s="66"/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</row>
    <row r="119">
      <c r="A119" s="131"/>
      <c r="B119" s="75"/>
      <c r="C119" s="75"/>
      <c r="D119" s="75"/>
      <c r="E119" s="66"/>
      <c r="F119" s="66"/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</row>
    <row r="120">
      <c r="A120" s="131"/>
      <c r="B120" s="75"/>
      <c r="C120" s="75"/>
      <c r="D120" s="75"/>
      <c r="E120" s="66"/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</row>
    <row r="121">
      <c r="A121" s="131"/>
      <c r="B121" s="75"/>
      <c r="C121" s="75"/>
      <c r="D121" s="75"/>
      <c r="E121" s="66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</row>
    <row r="122">
      <c r="A122" s="131"/>
      <c r="B122" s="75"/>
      <c r="C122" s="75"/>
      <c r="D122" s="75"/>
      <c r="E122" s="66"/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</row>
    <row r="123">
      <c r="A123" s="131"/>
      <c r="B123" s="75"/>
      <c r="C123" s="75"/>
      <c r="D123" s="75"/>
      <c r="E123" s="66"/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</row>
    <row r="124">
      <c r="A124" s="131"/>
      <c r="B124" s="75"/>
      <c r="C124" s="75"/>
      <c r="D124" s="75"/>
      <c r="E124" s="66"/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</row>
    <row r="125">
      <c r="A125" s="131"/>
      <c r="B125" s="75"/>
      <c r="C125" s="75"/>
      <c r="D125" s="75"/>
      <c r="E125" s="66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</row>
    <row r="126">
      <c r="A126" s="131"/>
      <c r="B126" s="75"/>
      <c r="C126" s="75"/>
      <c r="D126" s="75"/>
      <c r="E126" s="66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</row>
    <row r="127">
      <c r="A127" s="131"/>
      <c r="B127" s="75"/>
      <c r="C127" s="75"/>
      <c r="D127" s="75"/>
      <c r="E127" s="66"/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</row>
    <row r="128">
      <c r="A128" s="131"/>
      <c r="B128" s="75"/>
      <c r="C128" s="75"/>
      <c r="D128" s="75"/>
      <c r="E128" s="66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</row>
    <row r="129">
      <c r="A129" s="131"/>
      <c r="B129" s="75"/>
      <c r="C129" s="75"/>
      <c r="D129" s="75"/>
      <c r="E129" s="66"/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</row>
    <row r="130">
      <c r="A130" s="131"/>
      <c r="B130" s="75"/>
      <c r="C130" s="75"/>
      <c r="D130" s="75"/>
      <c r="E130" s="66"/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</row>
    <row r="131">
      <c r="A131" s="131"/>
      <c r="B131" s="75"/>
      <c r="C131" s="75"/>
      <c r="D131" s="75"/>
      <c r="E131" s="66"/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</row>
    <row r="132">
      <c r="A132" s="131"/>
      <c r="B132" s="75"/>
      <c r="C132" s="75"/>
      <c r="D132" s="75"/>
      <c r="E132" s="66"/>
      <c r="F132" s="66"/>
      <c r="G132" s="66"/>
      <c r="H132" s="66"/>
      <c r="I132" s="66"/>
      <c r="J132" s="66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</row>
    <row r="133">
      <c r="A133" s="131"/>
      <c r="B133" s="75"/>
      <c r="C133" s="75"/>
      <c r="D133" s="75"/>
      <c r="E133" s="66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</row>
    <row r="134">
      <c r="A134" s="131"/>
      <c r="B134" s="75"/>
      <c r="C134" s="75"/>
      <c r="D134" s="75"/>
      <c r="E134" s="66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</row>
    <row r="135">
      <c r="A135" s="131"/>
      <c r="B135" s="75"/>
      <c r="C135" s="75"/>
      <c r="D135" s="75"/>
      <c r="E135" s="66"/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</row>
    <row r="136">
      <c r="A136" s="131"/>
      <c r="B136" s="75"/>
      <c r="C136" s="75"/>
      <c r="D136" s="75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</row>
    <row r="137">
      <c r="A137" s="131"/>
      <c r="B137" s="75"/>
      <c r="C137" s="75"/>
      <c r="D137" s="75"/>
      <c r="E137" s="66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</row>
    <row r="138">
      <c r="A138" s="131"/>
      <c r="B138" s="75"/>
      <c r="C138" s="75"/>
      <c r="D138" s="75"/>
      <c r="E138" s="66"/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</row>
    <row r="139">
      <c r="A139" s="131"/>
      <c r="B139" s="75"/>
      <c r="C139" s="75"/>
      <c r="D139" s="75"/>
      <c r="E139" s="66"/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</row>
    <row r="140">
      <c r="A140" s="131"/>
      <c r="B140" s="75"/>
      <c r="C140" s="75"/>
      <c r="D140" s="75"/>
      <c r="E140" s="66"/>
      <c r="F140" s="66"/>
      <c r="G140" s="66"/>
      <c r="H140" s="66"/>
      <c r="I140" s="66"/>
      <c r="J140" s="66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</row>
    <row r="141">
      <c r="A141" s="131"/>
      <c r="B141" s="75"/>
      <c r="C141" s="75"/>
      <c r="D141" s="75"/>
      <c r="E141" s="66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</row>
    <row r="142">
      <c r="A142" s="131"/>
      <c r="B142" s="75"/>
      <c r="C142" s="75"/>
      <c r="D142" s="75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</row>
    <row r="143">
      <c r="A143" s="131"/>
      <c r="B143" s="75"/>
      <c r="C143" s="75"/>
      <c r="D143" s="75"/>
      <c r="E143" s="66"/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</row>
    <row r="144">
      <c r="A144" s="131"/>
      <c r="B144" s="75"/>
      <c r="C144" s="75"/>
      <c r="D144" s="75"/>
      <c r="E144" s="66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</row>
    <row r="145">
      <c r="A145" s="131"/>
      <c r="B145" s="75"/>
      <c r="C145" s="75"/>
      <c r="D145" s="75"/>
      <c r="E145" s="66"/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</row>
    <row r="146">
      <c r="A146" s="131"/>
      <c r="B146" s="75"/>
      <c r="C146" s="75"/>
      <c r="D146" s="75"/>
      <c r="E146" s="66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</row>
    <row r="147">
      <c r="A147" s="131"/>
      <c r="B147" s="75"/>
      <c r="C147" s="75"/>
      <c r="D147" s="75"/>
      <c r="E147" s="66"/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</row>
    <row r="148">
      <c r="A148" s="131"/>
      <c r="B148" s="75"/>
      <c r="C148" s="75"/>
      <c r="D148" s="75"/>
      <c r="E148" s="66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</row>
    <row r="149">
      <c r="A149" s="131"/>
      <c r="B149" s="75"/>
      <c r="C149" s="75"/>
      <c r="D149" s="75"/>
      <c r="E149" s="66"/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</row>
    <row r="150">
      <c r="A150" s="131"/>
      <c r="B150" s="75"/>
      <c r="C150" s="75"/>
      <c r="D150" s="75"/>
      <c r="E150" s="66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</row>
    <row r="151">
      <c r="A151" s="131"/>
      <c r="B151" s="75"/>
      <c r="C151" s="75"/>
      <c r="D151" s="75"/>
      <c r="E151" s="66"/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</row>
    <row r="152">
      <c r="A152" s="131"/>
      <c r="B152" s="75"/>
      <c r="C152" s="75"/>
      <c r="D152" s="75"/>
      <c r="E152" s="66"/>
      <c r="F152" s="66"/>
      <c r="G152" s="66"/>
      <c r="H152" s="66"/>
      <c r="I152" s="66"/>
      <c r="J152" s="66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</row>
    <row r="153">
      <c r="A153" s="131"/>
      <c r="B153" s="75"/>
      <c r="C153" s="75"/>
      <c r="D153" s="75"/>
      <c r="E153" s="66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</row>
    <row r="154">
      <c r="A154" s="131"/>
      <c r="B154" s="75"/>
      <c r="C154" s="75"/>
      <c r="D154" s="75"/>
      <c r="E154" s="66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</row>
    <row r="155">
      <c r="A155" s="131"/>
      <c r="B155" s="75"/>
      <c r="C155" s="75"/>
      <c r="D155" s="75"/>
      <c r="E155" s="66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</row>
    <row r="156">
      <c r="A156" s="131"/>
      <c r="B156" s="75"/>
      <c r="C156" s="75"/>
      <c r="D156" s="75"/>
      <c r="E156" s="66"/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</row>
    <row r="157">
      <c r="A157" s="131"/>
      <c r="B157" s="75"/>
      <c r="C157" s="75"/>
      <c r="D157" s="75"/>
      <c r="E157" s="66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</row>
    <row r="158">
      <c r="A158" s="131"/>
      <c r="B158" s="75"/>
      <c r="C158" s="75"/>
      <c r="D158" s="75"/>
      <c r="E158" s="66"/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</row>
    <row r="159">
      <c r="A159" s="131"/>
      <c r="B159" s="75"/>
      <c r="C159" s="75"/>
      <c r="D159" s="75"/>
      <c r="E159" s="66"/>
      <c r="F159" s="66"/>
      <c r="G159" s="66"/>
      <c r="H159" s="66"/>
      <c r="I159" s="66"/>
      <c r="J159" s="66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</row>
    <row r="160">
      <c r="A160" s="131"/>
      <c r="B160" s="75"/>
      <c r="C160" s="75"/>
      <c r="D160" s="75"/>
      <c r="E160" s="66"/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</row>
    <row r="161">
      <c r="A161" s="131"/>
      <c r="B161" s="75"/>
      <c r="C161" s="75"/>
      <c r="D161" s="75"/>
      <c r="E161" s="66"/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</row>
    <row r="162">
      <c r="A162" s="131"/>
      <c r="B162" s="75"/>
      <c r="C162" s="75"/>
      <c r="D162" s="75"/>
      <c r="E162" s="66"/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</row>
    <row r="163">
      <c r="A163" s="131"/>
      <c r="B163" s="75"/>
      <c r="C163" s="75"/>
      <c r="D163" s="75"/>
      <c r="E163" s="66"/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  <c r="AA163" s="66"/>
      <c r="AB163" s="66"/>
      <c r="AC163" s="66"/>
      <c r="AD163" s="66"/>
    </row>
    <row r="164">
      <c r="A164" s="131"/>
      <c r="B164" s="75"/>
      <c r="C164" s="75"/>
      <c r="D164" s="75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</row>
    <row r="165">
      <c r="A165" s="131"/>
      <c r="B165" s="75"/>
      <c r="C165" s="75"/>
      <c r="D165" s="75"/>
      <c r="E165" s="66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</row>
    <row r="166">
      <c r="A166" s="131"/>
      <c r="B166" s="75"/>
      <c r="C166" s="75"/>
      <c r="D166" s="75"/>
      <c r="E166" s="66"/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  <c r="AA166" s="66"/>
      <c r="AB166" s="66"/>
      <c r="AC166" s="66"/>
      <c r="AD166" s="66"/>
    </row>
    <row r="167">
      <c r="A167" s="131"/>
      <c r="B167" s="75"/>
      <c r="C167" s="75"/>
      <c r="D167" s="75"/>
      <c r="E167" s="66"/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  <c r="AA167" s="66"/>
      <c r="AB167" s="66"/>
      <c r="AC167" s="66"/>
      <c r="AD167" s="66"/>
    </row>
    <row r="168">
      <c r="A168" s="131"/>
      <c r="B168" s="75"/>
      <c r="C168" s="75"/>
      <c r="D168" s="75"/>
      <c r="E168" s="66"/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</row>
    <row r="169">
      <c r="A169" s="131"/>
      <c r="B169" s="75"/>
      <c r="C169" s="75"/>
      <c r="D169" s="75"/>
      <c r="E169" s="66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</row>
    <row r="170">
      <c r="A170" s="131"/>
      <c r="B170" s="75"/>
      <c r="C170" s="75"/>
      <c r="D170" s="75"/>
      <c r="E170" s="66"/>
      <c r="F170" s="66"/>
      <c r="G170" s="66"/>
      <c r="H170" s="66"/>
      <c r="I170" s="66"/>
      <c r="J170" s="66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</row>
    <row r="171">
      <c r="A171" s="131"/>
      <c r="B171" s="75"/>
      <c r="C171" s="75"/>
      <c r="D171" s="75"/>
      <c r="E171" s="66"/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</row>
    <row r="172">
      <c r="A172" s="131"/>
      <c r="B172" s="75"/>
      <c r="C172" s="75"/>
      <c r="D172" s="75"/>
      <c r="E172" s="66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</row>
    <row r="173">
      <c r="A173" s="131"/>
      <c r="B173" s="75"/>
      <c r="C173" s="75"/>
      <c r="D173" s="75"/>
      <c r="E173" s="66"/>
      <c r="F173" s="66"/>
      <c r="G173" s="66"/>
      <c r="H173" s="66"/>
      <c r="I173" s="66"/>
      <c r="J173" s="66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</row>
    <row r="174">
      <c r="A174" s="131"/>
      <c r="B174" s="75"/>
      <c r="C174" s="75"/>
      <c r="D174" s="75"/>
      <c r="E174" s="66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  <c r="AA174" s="66"/>
      <c r="AB174" s="66"/>
      <c r="AC174" s="66"/>
      <c r="AD174" s="66"/>
    </row>
    <row r="175">
      <c r="A175" s="131"/>
      <c r="B175" s="75"/>
      <c r="C175" s="75"/>
      <c r="D175" s="75"/>
      <c r="E175" s="66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  <c r="AA175" s="66"/>
      <c r="AB175" s="66"/>
      <c r="AC175" s="66"/>
      <c r="AD175" s="66"/>
    </row>
    <row r="176">
      <c r="A176" s="131"/>
      <c r="B176" s="75"/>
      <c r="C176" s="75"/>
      <c r="D176" s="75"/>
      <c r="E176" s="66"/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</row>
    <row r="177">
      <c r="A177" s="131"/>
      <c r="B177" s="75"/>
      <c r="C177" s="75"/>
      <c r="D177" s="75"/>
      <c r="E177" s="66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</row>
    <row r="178">
      <c r="A178" s="131"/>
      <c r="B178" s="75"/>
      <c r="C178" s="75"/>
      <c r="D178" s="75"/>
      <c r="E178" s="66"/>
      <c r="F178" s="66"/>
      <c r="G178" s="66"/>
      <c r="H178" s="66"/>
      <c r="I178" s="66"/>
      <c r="J178" s="66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</row>
    <row r="179">
      <c r="A179" s="131"/>
      <c r="B179" s="75"/>
      <c r="C179" s="75"/>
      <c r="D179" s="75"/>
      <c r="E179" s="66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  <c r="AA179" s="66"/>
      <c r="AB179" s="66"/>
      <c r="AC179" s="66"/>
      <c r="AD179" s="66"/>
    </row>
    <row r="180">
      <c r="A180" s="131"/>
      <c r="B180" s="75"/>
      <c r="C180" s="75"/>
      <c r="D180" s="75"/>
      <c r="E180" s="66"/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  <c r="AA180" s="66"/>
      <c r="AB180" s="66"/>
      <c r="AC180" s="66"/>
      <c r="AD180" s="66"/>
    </row>
    <row r="181">
      <c r="A181" s="131"/>
      <c r="B181" s="75"/>
      <c r="C181" s="75"/>
      <c r="D181" s="75"/>
      <c r="E181" s="66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</row>
    <row r="182">
      <c r="A182" s="131"/>
      <c r="B182" s="75"/>
      <c r="C182" s="75"/>
      <c r="D182" s="75"/>
      <c r="E182" s="66"/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66"/>
      <c r="AD182" s="66"/>
    </row>
    <row r="183">
      <c r="A183" s="131"/>
      <c r="B183" s="75"/>
      <c r="C183" s="75"/>
      <c r="D183" s="75"/>
      <c r="E183" s="66"/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  <c r="AA183" s="66"/>
      <c r="AB183" s="66"/>
      <c r="AC183" s="66"/>
      <c r="AD183" s="66"/>
    </row>
    <row r="184">
      <c r="A184" s="131"/>
      <c r="B184" s="75"/>
      <c r="C184" s="75"/>
      <c r="D184" s="75"/>
      <c r="E184" s="66"/>
      <c r="F184" s="66"/>
      <c r="G184" s="66"/>
      <c r="H184" s="66"/>
      <c r="I184" s="66"/>
      <c r="J184" s="66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</row>
    <row r="185">
      <c r="A185" s="131"/>
      <c r="B185" s="75"/>
      <c r="C185" s="75"/>
      <c r="D185" s="75"/>
      <c r="E185" s="66"/>
      <c r="F185" s="66"/>
      <c r="G185" s="66"/>
      <c r="H185" s="66"/>
      <c r="I185" s="66"/>
      <c r="J185" s="66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</row>
    <row r="186">
      <c r="A186" s="131"/>
      <c r="B186" s="75"/>
      <c r="C186" s="75"/>
      <c r="D186" s="75"/>
      <c r="E186" s="66"/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</row>
    <row r="187">
      <c r="A187" s="131"/>
      <c r="B187" s="75"/>
      <c r="C187" s="75"/>
      <c r="D187" s="75"/>
      <c r="E187" s="66"/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66"/>
      <c r="AD187" s="66"/>
    </row>
    <row r="188">
      <c r="A188" s="131"/>
      <c r="B188" s="75"/>
      <c r="C188" s="75"/>
      <c r="D188" s="75"/>
      <c r="E188" s="66"/>
      <c r="F188" s="66"/>
      <c r="G188" s="66"/>
      <c r="H188" s="66"/>
      <c r="I188" s="66"/>
      <c r="J188" s="66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</row>
    <row r="189">
      <c r="A189" s="131"/>
      <c r="B189" s="75"/>
      <c r="C189" s="75"/>
      <c r="D189" s="75"/>
      <c r="E189" s="66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</row>
    <row r="190">
      <c r="A190" s="131"/>
      <c r="B190" s="75"/>
      <c r="C190" s="75"/>
      <c r="D190" s="75"/>
      <c r="E190" s="66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</row>
    <row r="191">
      <c r="A191" s="131"/>
      <c r="B191" s="75"/>
      <c r="C191" s="75"/>
      <c r="D191" s="75"/>
      <c r="E191" s="66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</row>
    <row r="192">
      <c r="A192" s="131"/>
      <c r="B192" s="75"/>
      <c r="C192" s="75"/>
      <c r="D192" s="75"/>
      <c r="E192" s="66"/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</row>
    <row r="193">
      <c r="A193" s="131"/>
      <c r="B193" s="75"/>
      <c r="C193" s="75"/>
      <c r="D193" s="75"/>
      <c r="E193" s="66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</row>
    <row r="194">
      <c r="A194" s="131"/>
      <c r="B194" s="75"/>
      <c r="C194" s="75"/>
      <c r="D194" s="75"/>
      <c r="E194" s="66"/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</row>
    <row r="195">
      <c r="A195" s="131"/>
      <c r="B195" s="75"/>
      <c r="C195" s="75"/>
      <c r="D195" s="75"/>
      <c r="E195" s="66"/>
      <c r="F195" s="66"/>
      <c r="G195" s="66"/>
      <c r="H195" s="66"/>
      <c r="I195" s="66"/>
      <c r="J195" s="66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</row>
    <row r="196">
      <c r="A196" s="131"/>
      <c r="B196" s="75"/>
      <c r="C196" s="75"/>
      <c r="D196" s="75"/>
      <c r="E196" s="66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</row>
    <row r="197">
      <c r="A197" s="131"/>
      <c r="B197" s="75"/>
      <c r="C197" s="75"/>
      <c r="D197" s="75"/>
      <c r="E197" s="66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</row>
    <row r="198">
      <c r="A198" s="131"/>
      <c r="B198" s="75"/>
      <c r="C198" s="75"/>
      <c r="D198" s="75"/>
      <c r="E198" s="66"/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</row>
    <row r="199">
      <c r="A199" s="131"/>
      <c r="B199" s="75"/>
      <c r="C199" s="75"/>
      <c r="D199" s="75"/>
      <c r="E199" s="66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</row>
    <row r="200">
      <c r="A200" s="131"/>
      <c r="B200" s="75"/>
      <c r="C200" s="75"/>
      <c r="D200" s="75"/>
      <c r="E200" s="66"/>
      <c r="F200" s="66"/>
      <c r="G200" s="66"/>
      <c r="H200" s="66"/>
      <c r="I200" s="66"/>
      <c r="J200" s="66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</row>
    <row r="201">
      <c r="A201" s="131"/>
      <c r="B201" s="75"/>
      <c r="C201" s="75"/>
      <c r="D201" s="75"/>
      <c r="E201" s="66"/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</row>
    <row r="202">
      <c r="A202" s="131"/>
      <c r="B202" s="75"/>
      <c r="C202" s="75"/>
      <c r="D202" s="75"/>
      <c r="E202" s="66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</row>
    <row r="203">
      <c r="A203" s="131"/>
      <c r="B203" s="75"/>
      <c r="C203" s="75"/>
      <c r="D203" s="75"/>
      <c r="E203" s="66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</row>
    <row r="204">
      <c r="A204" s="131"/>
      <c r="B204" s="75"/>
      <c r="C204" s="75"/>
      <c r="D204" s="75"/>
      <c r="E204" s="66"/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</row>
    <row r="205">
      <c r="A205" s="131"/>
      <c r="B205" s="75"/>
      <c r="C205" s="75"/>
      <c r="D205" s="75"/>
      <c r="E205" s="66"/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</row>
    <row r="206">
      <c r="A206" s="131"/>
      <c r="B206" s="75"/>
      <c r="C206" s="75"/>
      <c r="D206" s="75"/>
      <c r="E206" s="66"/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</row>
    <row r="207">
      <c r="A207" s="131"/>
      <c r="B207" s="75"/>
      <c r="C207" s="75"/>
      <c r="D207" s="75"/>
      <c r="E207" s="66"/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</row>
    <row r="208">
      <c r="A208" s="131"/>
      <c r="B208" s="75"/>
      <c r="C208" s="75"/>
      <c r="D208" s="75"/>
      <c r="E208" s="66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</row>
    <row r="209">
      <c r="A209" s="131"/>
      <c r="B209" s="75"/>
      <c r="C209" s="75"/>
      <c r="D209" s="75"/>
      <c r="E209" s="66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</row>
    <row r="210">
      <c r="A210" s="131"/>
      <c r="B210" s="75"/>
      <c r="C210" s="75"/>
      <c r="D210" s="75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</row>
    <row r="211">
      <c r="A211" s="131"/>
      <c r="B211" s="75"/>
      <c r="C211" s="75"/>
      <c r="D211" s="75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</row>
    <row r="212">
      <c r="A212" s="131"/>
      <c r="B212" s="75"/>
      <c r="C212" s="75"/>
      <c r="D212" s="75"/>
      <c r="E212" s="66"/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</row>
    <row r="213">
      <c r="A213" s="131"/>
      <c r="B213" s="75"/>
      <c r="C213" s="75"/>
      <c r="D213" s="75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</row>
    <row r="214">
      <c r="A214" s="131"/>
      <c r="B214" s="75"/>
      <c r="C214" s="75"/>
      <c r="D214" s="75"/>
      <c r="E214" s="66"/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</row>
    <row r="215">
      <c r="A215" s="131"/>
      <c r="B215" s="75"/>
      <c r="C215" s="75"/>
      <c r="D215" s="75"/>
      <c r="E215" s="66"/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</row>
    <row r="216">
      <c r="A216" s="131"/>
      <c r="B216" s="75"/>
      <c r="C216" s="75"/>
      <c r="D216" s="75"/>
      <c r="E216" s="66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</row>
    <row r="217">
      <c r="A217" s="131"/>
      <c r="B217" s="75"/>
      <c r="C217" s="75"/>
      <c r="D217" s="75"/>
      <c r="E217" s="66"/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</row>
    <row r="218">
      <c r="A218" s="131"/>
      <c r="B218" s="75"/>
      <c r="C218" s="75"/>
      <c r="D218" s="75"/>
      <c r="E218" s="66"/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</row>
    <row r="219">
      <c r="A219" s="131"/>
      <c r="B219" s="75"/>
      <c r="C219" s="75"/>
      <c r="D219" s="75"/>
      <c r="E219" s="66"/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</row>
    <row r="220">
      <c r="A220" s="131"/>
      <c r="B220" s="75"/>
      <c r="C220" s="75"/>
      <c r="D220" s="75"/>
      <c r="E220" s="66"/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</row>
    <row r="221">
      <c r="A221" s="131"/>
      <c r="B221" s="75"/>
      <c r="C221" s="75"/>
      <c r="D221" s="75"/>
      <c r="E221" s="66"/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</row>
    <row r="222">
      <c r="A222" s="131"/>
      <c r="B222" s="75"/>
      <c r="C222" s="75"/>
      <c r="D222" s="75"/>
      <c r="E222" s="66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</row>
    <row r="223">
      <c r="A223" s="131"/>
      <c r="B223" s="75"/>
      <c r="C223" s="75"/>
      <c r="D223" s="75"/>
      <c r="E223" s="66"/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</row>
    <row r="224">
      <c r="A224" s="131"/>
      <c r="B224" s="75"/>
      <c r="C224" s="75"/>
      <c r="D224" s="75"/>
      <c r="E224" s="66"/>
      <c r="F224" s="66"/>
      <c r="G224" s="66"/>
      <c r="H224" s="66"/>
      <c r="I224" s="66"/>
      <c r="J224" s="66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</row>
    <row r="225">
      <c r="A225" s="131"/>
      <c r="B225" s="75"/>
      <c r="C225" s="75"/>
      <c r="D225" s="75"/>
      <c r="E225" s="66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</row>
    <row r="226">
      <c r="A226" s="131"/>
      <c r="B226" s="75"/>
      <c r="C226" s="75"/>
      <c r="D226" s="75"/>
      <c r="E226" s="66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</row>
    <row r="227">
      <c r="A227" s="131"/>
      <c r="B227" s="75"/>
      <c r="C227" s="75"/>
      <c r="D227" s="75"/>
      <c r="E227" s="66"/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</row>
    <row r="228">
      <c r="A228" s="131"/>
      <c r="B228" s="75"/>
      <c r="C228" s="75"/>
      <c r="D228" s="75"/>
      <c r="E228" s="66"/>
      <c r="F228" s="66"/>
      <c r="G228" s="66"/>
      <c r="H228" s="66"/>
      <c r="I228" s="66"/>
      <c r="J228" s="66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66"/>
      <c r="AD228" s="66"/>
    </row>
    <row r="229">
      <c r="A229" s="131"/>
      <c r="B229" s="75"/>
      <c r="C229" s="75"/>
      <c r="D229" s="75"/>
      <c r="E229" s="66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</row>
    <row r="230">
      <c r="A230" s="131"/>
      <c r="B230" s="75"/>
      <c r="C230" s="75"/>
      <c r="D230" s="75"/>
      <c r="E230" s="66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</row>
    <row r="231">
      <c r="A231" s="131"/>
      <c r="B231" s="75"/>
      <c r="C231" s="75"/>
      <c r="D231" s="75"/>
      <c r="E231" s="66"/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</row>
    <row r="232">
      <c r="A232" s="131"/>
      <c r="B232" s="75"/>
      <c r="C232" s="75"/>
      <c r="D232" s="75"/>
      <c r="E232" s="66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</row>
    <row r="233">
      <c r="A233" s="131"/>
      <c r="B233" s="75"/>
      <c r="C233" s="75"/>
      <c r="D233" s="75"/>
      <c r="E233" s="66"/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</row>
    <row r="234">
      <c r="A234" s="131"/>
      <c r="B234" s="75"/>
      <c r="C234" s="75"/>
      <c r="D234" s="75"/>
      <c r="E234" s="66"/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</row>
    <row r="235">
      <c r="A235" s="131"/>
      <c r="B235" s="75"/>
      <c r="C235" s="75"/>
      <c r="D235" s="75"/>
      <c r="E235" s="66"/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</row>
    <row r="236">
      <c r="A236" s="131"/>
      <c r="B236" s="75"/>
      <c r="C236" s="75"/>
      <c r="D236" s="75"/>
      <c r="E236" s="66"/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</row>
    <row r="237">
      <c r="A237" s="131"/>
      <c r="B237" s="75"/>
      <c r="C237" s="75"/>
      <c r="D237" s="75"/>
      <c r="E237" s="66"/>
      <c r="F237" s="66"/>
      <c r="G237" s="66"/>
      <c r="H237" s="66"/>
      <c r="I237" s="66"/>
      <c r="J237" s="66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</row>
    <row r="238">
      <c r="A238" s="131"/>
      <c r="B238" s="75"/>
      <c r="C238" s="75"/>
      <c r="D238" s="75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</row>
    <row r="239">
      <c r="A239" s="131"/>
      <c r="B239" s="75"/>
      <c r="C239" s="75"/>
      <c r="D239" s="75"/>
      <c r="E239" s="66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</row>
    <row r="240">
      <c r="A240" s="131"/>
      <c r="B240" s="75"/>
      <c r="C240" s="75"/>
      <c r="D240" s="75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</row>
    <row r="241">
      <c r="A241" s="131"/>
      <c r="B241" s="75"/>
      <c r="C241" s="75"/>
      <c r="D241" s="75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</row>
    <row r="242">
      <c r="A242" s="131"/>
      <c r="B242" s="75"/>
      <c r="C242" s="75"/>
      <c r="D242" s="75"/>
      <c r="E242" s="66"/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</row>
    <row r="243">
      <c r="A243" s="131"/>
      <c r="B243" s="75"/>
      <c r="C243" s="75"/>
      <c r="D243" s="75"/>
      <c r="E243" s="66"/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</row>
    <row r="244">
      <c r="A244" s="131"/>
      <c r="B244" s="75"/>
      <c r="C244" s="75"/>
      <c r="D244" s="75"/>
      <c r="E244" s="66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</row>
    <row r="245">
      <c r="A245" s="131"/>
      <c r="B245" s="75"/>
      <c r="C245" s="75"/>
      <c r="D245" s="75"/>
      <c r="E245" s="66"/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</row>
    <row r="246">
      <c r="A246" s="131"/>
      <c r="B246" s="75"/>
      <c r="C246" s="75"/>
      <c r="D246" s="75"/>
      <c r="E246" s="66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</row>
    <row r="247">
      <c r="A247" s="131"/>
      <c r="B247" s="75"/>
      <c r="C247" s="75"/>
      <c r="D247" s="75"/>
      <c r="E247" s="66"/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</row>
    <row r="248">
      <c r="A248" s="131"/>
      <c r="B248" s="75"/>
      <c r="C248" s="75"/>
      <c r="D248" s="75"/>
      <c r="E248" s="66"/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  <c r="AA248" s="66"/>
      <c r="AB248" s="66"/>
      <c r="AC248" s="66"/>
      <c r="AD248" s="66"/>
    </row>
    <row r="249">
      <c r="A249" s="131"/>
      <c r="B249" s="75"/>
      <c r="C249" s="75"/>
      <c r="D249" s="75"/>
      <c r="E249" s="66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</row>
    <row r="250">
      <c r="A250" s="131"/>
      <c r="B250" s="75"/>
      <c r="C250" s="75"/>
      <c r="D250" s="75"/>
      <c r="E250" s="66"/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</row>
    <row r="251">
      <c r="A251" s="131"/>
      <c r="B251" s="75"/>
      <c r="C251" s="75"/>
      <c r="D251" s="75"/>
      <c r="E251" s="66"/>
      <c r="F251" s="66"/>
      <c r="G251" s="66"/>
      <c r="H251" s="66"/>
      <c r="I251" s="66"/>
      <c r="J251" s="66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</row>
    <row r="252">
      <c r="A252" s="131"/>
      <c r="B252" s="75"/>
      <c r="C252" s="75"/>
      <c r="D252" s="75"/>
      <c r="E252" s="66"/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</row>
    <row r="253">
      <c r="A253" s="131"/>
      <c r="B253" s="75"/>
      <c r="C253" s="75"/>
      <c r="D253" s="75"/>
      <c r="E253" s="66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</row>
    <row r="254">
      <c r="A254" s="131"/>
      <c r="B254" s="75"/>
      <c r="C254" s="75"/>
      <c r="D254" s="75"/>
      <c r="E254" s="66"/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</row>
    <row r="255">
      <c r="A255" s="131"/>
      <c r="B255" s="75"/>
      <c r="C255" s="75"/>
      <c r="D255" s="75"/>
      <c r="E255" s="66"/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66"/>
      <c r="AD255" s="66"/>
    </row>
    <row r="256">
      <c r="A256" s="131"/>
      <c r="B256" s="75"/>
      <c r="C256" s="75"/>
      <c r="D256" s="75"/>
      <c r="E256" s="66"/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</row>
    <row r="257">
      <c r="A257" s="131"/>
      <c r="B257" s="75"/>
      <c r="C257" s="75"/>
      <c r="D257" s="75"/>
      <c r="E257" s="66"/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</row>
    <row r="258">
      <c r="A258" s="131"/>
      <c r="B258" s="75"/>
      <c r="C258" s="75"/>
      <c r="D258" s="75"/>
      <c r="E258" s="66"/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</row>
    <row r="259">
      <c r="A259" s="131"/>
      <c r="B259" s="75"/>
      <c r="C259" s="75"/>
      <c r="D259" s="75"/>
      <c r="E259" s="66"/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  <c r="AA259" s="66"/>
      <c r="AB259" s="66"/>
      <c r="AC259" s="66"/>
      <c r="AD259" s="66"/>
    </row>
    <row r="260">
      <c r="A260" s="131"/>
      <c r="B260" s="75"/>
      <c r="C260" s="75"/>
      <c r="D260" s="75"/>
      <c r="E260" s="66"/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</row>
    <row r="261">
      <c r="A261" s="131"/>
      <c r="B261" s="75"/>
      <c r="C261" s="75"/>
      <c r="D261" s="75"/>
      <c r="E261" s="66"/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</row>
    <row r="262">
      <c r="A262" s="131"/>
      <c r="B262" s="75"/>
      <c r="C262" s="75"/>
      <c r="D262" s="75"/>
      <c r="E262" s="66"/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</row>
    <row r="263">
      <c r="A263" s="131"/>
      <c r="B263" s="75"/>
      <c r="C263" s="75"/>
      <c r="D263" s="75"/>
      <c r="E263" s="66"/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</row>
    <row r="264">
      <c r="A264" s="131"/>
      <c r="B264" s="75"/>
      <c r="C264" s="75"/>
      <c r="D264" s="75"/>
      <c r="E264" s="66"/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</row>
    <row r="265">
      <c r="A265" s="131"/>
      <c r="B265" s="75"/>
      <c r="C265" s="75"/>
      <c r="D265" s="75"/>
      <c r="E265" s="66"/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</row>
    <row r="266">
      <c r="A266" s="131"/>
      <c r="B266" s="75"/>
      <c r="C266" s="75"/>
      <c r="D266" s="75"/>
      <c r="E266" s="66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</row>
    <row r="267">
      <c r="A267" s="131"/>
      <c r="B267" s="75"/>
      <c r="C267" s="75"/>
      <c r="D267" s="75"/>
      <c r="E267" s="66"/>
      <c r="F267" s="66"/>
      <c r="G267" s="66"/>
      <c r="H267" s="66"/>
      <c r="I267" s="66"/>
      <c r="J267" s="66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</row>
    <row r="268">
      <c r="A268" s="131"/>
      <c r="B268" s="75"/>
      <c r="C268" s="75"/>
      <c r="D268" s="75"/>
      <c r="E268" s="66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/>
      <c r="AB268" s="66"/>
      <c r="AC268" s="66"/>
      <c r="AD268" s="66"/>
    </row>
    <row r="269">
      <c r="A269" s="131"/>
      <c r="B269" s="75"/>
      <c r="C269" s="75"/>
      <c r="D269" s="75"/>
      <c r="E269" s="66"/>
      <c r="F269" s="66"/>
      <c r="G269" s="66"/>
      <c r="H269" s="66"/>
      <c r="I269" s="66"/>
      <c r="J269" s="66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</row>
    <row r="270">
      <c r="A270" s="131"/>
      <c r="B270" s="75"/>
      <c r="C270" s="75"/>
      <c r="D270" s="75"/>
      <c r="E270" s="66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</row>
    <row r="271">
      <c r="A271" s="131"/>
      <c r="B271" s="75"/>
      <c r="C271" s="75"/>
      <c r="D271" s="75"/>
      <c r="E271" s="66"/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</row>
    <row r="272">
      <c r="A272" s="131"/>
      <c r="B272" s="75"/>
      <c r="C272" s="75"/>
      <c r="D272" s="75"/>
      <c r="E272" s="66"/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</row>
    <row r="273">
      <c r="A273" s="131"/>
      <c r="B273" s="75"/>
      <c r="C273" s="75"/>
      <c r="D273" s="75"/>
      <c r="E273" s="66"/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</row>
    <row r="274">
      <c r="A274" s="131"/>
      <c r="B274" s="75"/>
      <c r="C274" s="75"/>
      <c r="D274" s="75"/>
      <c r="E274" s="66"/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  <c r="AA274" s="66"/>
      <c r="AB274" s="66"/>
      <c r="AC274" s="66"/>
      <c r="AD274" s="66"/>
    </row>
    <row r="275">
      <c r="A275" s="131"/>
      <c r="B275" s="75"/>
      <c r="C275" s="75"/>
      <c r="D275" s="75"/>
      <c r="E275" s="66"/>
      <c r="F275" s="66"/>
      <c r="G275" s="66"/>
      <c r="H275" s="66"/>
      <c r="I275" s="66"/>
      <c r="J275" s="66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</row>
    <row r="276">
      <c r="A276" s="131"/>
      <c r="B276" s="75"/>
      <c r="C276" s="75"/>
      <c r="D276" s="75"/>
      <c r="E276" s="66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</row>
    <row r="277">
      <c r="A277" s="131"/>
      <c r="B277" s="75"/>
      <c r="C277" s="75"/>
      <c r="D277" s="75"/>
      <c r="E277" s="66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</row>
    <row r="278">
      <c r="A278" s="131"/>
      <c r="B278" s="75"/>
      <c r="C278" s="75"/>
      <c r="D278" s="75"/>
      <c r="E278" s="66"/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</row>
    <row r="279">
      <c r="A279" s="131"/>
      <c r="B279" s="75"/>
      <c r="C279" s="75"/>
      <c r="D279" s="75"/>
      <c r="E279" s="66"/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</row>
    <row r="280">
      <c r="A280" s="131"/>
      <c r="B280" s="75"/>
      <c r="C280" s="75"/>
      <c r="D280" s="75"/>
      <c r="E280" s="66"/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</row>
    <row r="281">
      <c r="A281" s="131"/>
      <c r="B281" s="75"/>
      <c r="C281" s="75"/>
      <c r="D281" s="75"/>
      <c r="E281" s="66"/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</row>
    <row r="282">
      <c r="A282" s="131"/>
      <c r="B282" s="75"/>
      <c r="C282" s="75"/>
      <c r="D282" s="75"/>
      <c r="E282" s="66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</row>
    <row r="283">
      <c r="A283" s="131"/>
      <c r="B283" s="75"/>
      <c r="C283" s="75"/>
      <c r="D283" s="75"/>
      <c r="E283" s="66"/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</row>
    <row r="284">
      <c r="A284" s="131"/>
      <c r="B284" s="75"/>
      <c r="C284" s="75"/>
      <c r="D284" s="75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  <c r="AA284" s="66"/>
      <c r="AB284" s="66"/>
      <c r="AC284" s="66"/>
      <c r="AD284" s="66"/>
    </row>
    <row r="285">
      <c r="A285" s="131"/>
      <c r="B285" s="75"/>
      <c r="C285" s="75"/>
      <c r="D285" s="75"/>
      <c r="E285" s="66"/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</row>
    <row r="286">
      <c r="A286" s="131"/>
      <c r="B286" s="75"/>
      <c r="C286" s="75"/>
      <c r="D286" s="75"/>
      <c r="E286" s="66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</row>
    <row r="287">
      <c r="A287" s="131"/>
      <c r="B287" s="75"/>
      <c r="C287" s="75"/>
      <c r="D287" s="75"/>
      <c r="E287" s="66"/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</row>
    <row r="288">
      <c r="A288" s="131"/>
      <c r="B288" s="75"/>
      <c r="C288" s="75"/>
      <c r="D288" s="75"/>
      <c r="E288" s="66"/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  <c r="AA288" s="66"/>
      <c r="AB288" s="66"/>
      <c r="AC288" s="66"/>
      <c r="AD288" s="66"/>
    </row>
    <row r="289">
      <c r="A289" s="131"/>
      <c r="B289" s="75"/>
      <c r="C289" s="75"/>
      <c r="D289" s="75"/>
      <c r="E289" s="66"/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  <c r="AA289" s="66"/>
      <c r="AB289" s="66"/>
      <c r="AC289" s="66"/>
      <c r="AD289" s="66"/>
    </row>
    <row r="290">
      <c r="A290" s="131"/>
      <c r="B290" s="75"/>
      <c r="C290" s="75"/>
      <c r="D290" s="75"/>
      <c r="E290" s="66"/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  <c r="AA290" s="66"/>
      <c r="AB290" s="66"/>
      <c r="AC290" s="66"/>
      <c r="AD290" s="66"/>
    </row>
    <row r="291">
      <c r="A291" s="131"/>
      <c r="B291" s="75"/>
      <c r="C291" s="75"/>
      <c r="D291" s="75"/>
      <c r="E291" s="66"/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  <c r="AA291" s="66"/>
      <c r="AB291" s="66"/>
      <c r="AC291" s="66"/>
      <c r="AD291" s="66"/>
    </row>
    <row r="292">
      <c r="A292" s="131"/>
      <c r="B292" s="75"/>
      <c r="C292" s="75"/>
      <c r="D292" s="75"/>
      <c r="E292" s="66"/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  <c r="AA292" s="66"/>
      <c r="AB292" s="66"/>
      <c r="AC292" s="66"/>
      <c r="AD292" s="66"/>
    </row>
    <row r="293">
      <c r="A293" s="131"/>
      <c r="B293" s="75"/>
      <c r="C293" s="75"/>
      <c r="D293" s="75"/>
      <c r="E293" s="66"/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  <c r="AA293" s="66"/>
      <c r="AB293" s="66"/>
      <c r="AC293" s="66"/>
      <c r="AD293" s="66"/>
    </row>
    <row r="294">
      <c r="A294" s="131"/>
      <c r="B294" s="75"/>
      <c r="C294" s="75"/>
      <c r="D294" s="75"/>
      <c r="E294" s="66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  <c r="AA294" s="66"/>
      <c r="AB294" s="66"/>
      <c r="AC294" s="66"/>
      <c r="AD294" s="66"/>
    </row>
    <row r="295">
      <c r="A295" s="131"/>
      <c r="B295" s="75"/>
      <c r="C295" s="75"/>
      <c r="D295" s="75"/>
      <c r="E295" s="66"/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  <c r="AA295" s="66"/>
      <c r="AB295" s="66"/>
      <c r="AC295" s="66"/>
      <c r="AD295" s="66"/>
    </row>
    <row r="296">
      <c r="A296" s="131"/>
      <c r="B296" s="75"/>
      <c r="C296" s="75"/>
      <c r="D296" s="75"/>
      <c r="E296" s="66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  <c r="AA296" s="66"/>
      <c r="AB296" s="66"/>
      <c r="AC296" s="66"/>
      <c r="AD296" s="66"/>
    </row>
    <row r="297">
      <c r="A297" s="131"/>
      <c r="B297" s="75"/>
      <c r="C297" s="75"/>
      <c r="D297" s="75"/>
      <c r="E297" s="66"/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  <c r="AA297" s="66"/>
      <c r="AB297" s="66"/>
      <c r="AC297" s="66"/>
      <c r="AD297" s="66"/>
    </row>
    <row r="298">
      <c r="A298" s="131"/>
      <c r="B298" s="75"/>
      <c r="C298" s="75"/>
      <c r="D298" s="75"/>
      <c r="E298" s="66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  <c r="AA298" s="66"/>
      <c r="AB298" s="66"/>
      <c r="AC298" s="66"/>
      <c r="AD298" s="66"/>
    </row>
    <row r="299">
      <c r="A299" s="131"/>
      <c r="B299" s="75"/>
      <c r="C299" s="75"/>
      <c r="D299" s="75"/>
      <c r="E299" s="66"/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  <c r="AA299" s="66"/>
      <c r="AB299" s="66"/>
      <c r="AC299" s="66"/>
      <c r="AD299" s="66"/>
    </row>
    <row r="300">
      <c r="A300" s="131"/>
      <c r="B300" s="75"/>
      <c r="C300" s="75"/>
      <c r="D300" s="75"/>
      <c r="E300" s="66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  <c r="AA300" s="66"/>
      <c r="AB300" s="66"/>
      <c r="AC300" s="66"/>
      <c r="AD300" s="66"/>
    </row>
    <row r="301">
      <c r="A301" s="131"/>
      <c r="B301" s="75"/>
      <c r="C301" s="75"/>
      <c r="D301" s="75"/>
      <c r="E301" s="66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  <c r="AA301" s="66"/>
      <c r="AB301" s="66"/>
      <c r="AC301" s="66"/>
      <c r="AD301" s="66"/>
    </row>
    <row r="302">
      <c r="A302" s="131"/>
      <c r="B302" s="75"/>
      <c r="C302" s="75"/>
      <c r="D302" s="75"/>
      <c r="E302" s="66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  <c r="AA302" s="66"/>
      <c r="AB302" s="66"/>
      <c r="AC302" s="66"/>
      <c r="AD302" s="66"/>
    </row>
    <row r="303">
      <c r="A303" s="131"/>
      <c r="B303" s="75"/>
      <c r="C303" s="75"/>
      <c r="D303" s="75"/>
      <c r="E303" s="66"/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  <c r="AA303" s="66"/>
      <c r="AB303" s="66"/>
      <c r="AC303" s="66"/>
      <c r="AD303" s="66"/>
    </row>
    <row r="304">
      <c r="A304" s="131"/>
      <c r="B304" s="75"/>
      <c r="C304" s="75"/>
      <c r="D304" s="75"/>
      <c r="E304" s="66"/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/>
      <c r="AB304" s="66"/>
      <c r="AC304" s="66"/>
      <c r="AD304" s="66"/>
    </row>
    <row r="305">
      <c r="A305" s="131"/>
      <c r="B305" s="75"/>
      <c r="C305" s="75"/>
      <c r="D305" s="75"/>
      <c r="E305" s="66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  <c r="AA305" s="66"/>
      <c r="AB305" s="66"/>
      <c r="AC305" s="66"/>
      <c r="AD305" s="66"/>
    </row>
    <row r="306">
      <c r="A306" s="131"/>
      <c r="B306" s="75"/>
      <c r="C306" s="75"/>
      <c r="D306" s="75"/>
      <c r="E306" s="66"/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/>
      <c r="AB306" s="66"/>
      <c r="AC306" s="66"/>
      <c r="AD306" s="66"/>
    </row>
    <row r="307">
      <c r="A307" s="131"/>
      <c r="B307" s="75"/>
      <c r="C307" s="75"/>
      <c r="D307" s="75"/>
      <c r="E307" s="66"/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  <c r="AA307" s="66"/>
      <c r="AB307" s="66"/>
      <c r="AC307" s="66"/>
      <c r="AD307" s="66"/>
    </row>
    <row r="308">
      <c r="A308" s="131"/>
      <c r="B308" s="75"/>
      <c r="C308" s="75"/>
      <c r="D308" s="75"/>
      <c r="E308" s="66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/>
      <c r="AB308" s="66"/>
      <c r="AC308" s="66"/>
      <c r="AD308" s="66"/>
    </row>
    <row r="309">
      <c r="A309" s="131"/>
      <c r="B309" s="75"/>
      <c r="C309" s="75"/>
      <c r="D309" s="75"/>
      <c r="E309" s="66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  <c r="AA309" s="66"/>
      <c r="AB309" s="66"/>
      <c r="AC309" s="66"/>
      <c r="AD309" s="66"/>
    </row>
    <row r="310">
      <c r="A310" s="131"/>
      <c r="B310" s="75"/>
      <c r="C310" s="75"/>
      <c r="D310" s="75"/>
      <c r="E310" s="66"/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  <c r="AA310" s="66"/>
      <c r="AB310" s="66"/>
      <c r="AC310" s="66"/>
      <c r="AD310" s="66"/>
    </row>
    <row r="311">
      <c r="A311" s="131"/>
      <c r="B311" s="75"/>
      <c r="C311" s="75"/>
      <c r="D311" s="75"/>
      <c r="E311" s="66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  <c r="AA311" s="66"/>
      <c r="AB311" s="66"/>
      <c r="AC311" s="66"/>
      <c r="AD311" s="66"/>
    </row>
    <row r="312">
      <c r="A312" s="131"/>
      <c r="B312" s="75"/>
      <c r="C312" s="75"/>
      <c r="D312" s="75"/>
      <c r="E312" s="66"/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  <c r="AA312" s="66"/>
      <c r="AB312" s="66"/>
      <c r="AC312" s="66"/>
      <c r="AD312" s="66"/>
    </row>
    <row r="313">
      <c r="A313" s="131"/>
      <c r="B313" s="75"/>
      <c r="C313" s="75"/>
      <c r="D313" s="75"/>
      <c r="E313" s="66"/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  <c r="AA313" s="66"/>
      <c r="AB313" s="66"/>
      <c r="AC313" s="66"/>
      <c r="AD313" s="66"/>
    </row>
    <row r="314">
      <c r="A314" s="131"/>
      <c r="B314" s="75"/>
      <c r="C314" s="75"/>
      <c r="D314" s="75"/>
      <c r="E314" s="66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  <c r="AA314" s="66"/>
      <c r="AB314" s="66"/>
      <c r="AC314" s="66"/>
      <c r="AD314" s="66"/>
    </row>
    <row r="315">
      <c r="A315" s="131"/>
      <c r="B315" s="75"/>
      <c r="C315" s="75"/>
      <c r="D315" s="75"/>
      <c r="E315" s="66"/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  <c r="AA315" s="66"/>
      <c r="AB315" s="66"/>
      <c r="AC315" s="66"/>
      <c r="AD315" s="66"/>
    </row>
    <row r="316">
      <c r="A316" s="131"/>
      <c r="B316" s="75"/>
      <c r="C316" s="75"/>
      <c r="D316" s="75"/>
      <c r="E316" s="66"/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  <c r="AA316" s="66"/>
      <c r="AB316" s="66"/>
      <c r="AC316" s="66"/>
      <c r="AD316" s="66"/>
    </row>
    <row r="317">
      <c r="A317" s="131"/>
      <c r="B317" s="75"/>
      <c r="C317" s="75"/>
      <c r="D317" s="75"/>
      <c r="E317" s="66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  <c r="AA317" s="66"/>
      <c r="AB317" s="66"/>
      <c r="AC317" s="66"/>
      <c r="AD317" s="66"/>
    </row>
    <row r="318">
      <c r="A318" s="131"/>
      <c r="B318" s="75"/>
      <c r="C318" s="75"/>
      <c r="D318" s="75"/>
      <c r="E318" s="66"/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  <c r="AA318" s="66"/>
      <c r="AB318" s="66"/>
      <c r="AC318" s="66"/>
      <c r="AD318" s="66"/>
    </row>
    <row r="319">
      <c r="A319" s="131"/>
      <c r="B319" s="75"/>
      <c r="C319" s="75"/>
      <c r="D319" s="75"/>
      <c r="E319" s="66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  <c r="AA319" s="66"/>
      <c r="AB319" s="66"/>
      <c r="AC319" s="66"/>
      <c r="AD319" s="66"/>
    </row>
    <row r="320">
      <c r="A320" s="131"/>
      <c r="B320" s="75"/>
      <c r="C320" s="75"/>
      <c r="D320" s="75"/>
      <c r="E320" s="66"/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  <c r="AA320" s="66"/>
      <c r="AB320" s="66"/>
      <c r="AC320" s="66"/>
      <c r="AD320" s="66"/>
    </row>
    <row r="321">
      <c r="A321" s="131"/>
      <c r="B321" s="75"/>
      <c r="C321" s="75"/>
      <c r="D321" s="75"/>
      <c r="E321" s="66"/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  <c r="AA321" s="66"/>
      <c r="AB321" s="66"/>
      <c r="AC321" s="66"/>
      <c r="AD321" s="66"/>
    </row>
    <row r="322">
      <c r="A322" s="131"/>
      <c r="B322" s="75"/>
      <c r="C322" s="75"/>
      <c r="D322" s="75"/>
      <c r="E322" s="66"/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  <c r="AA322" s="66"/>
      <c r="AB322" s="66"/>
      <c r="AC322" s="66"/>
      <c r="AD322" s="66"/>
    </row>
    <row r="323">
      <c r="A323" s="131"/>
      <c r="B323" s="75"/>
      <c r="C323" s="75"/>
      <c r="D323" s="75"/>
      <c r="E323" s="66"/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  <c r="AA323" s="66"/>
      <c r="AB323" s="66"/>
      <c r="AC323" s="66"/>
      <c r="AD323" s="66"/>
    </row>
    <row r="324">
      <c r="A324" s="131"/>
      <c r="B324" s="75"/>
      <c r="C324" s="75"/>
      <c r="D324" s="75"/>
      <c r="E324" s="66"/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  <c r="AA324" s="66"/>
      <c r="AB324" s="66"/>
      <c r="AC324" s="66"/>
      <c r="AD324" s="66"/>
    </row>
    <row r="325">
      <c r="A325" s="131"/>
      <c r="B325" s="75"/>
      <c r="C325" s="75"/>
      <c r="D325" s="75"/>
      <c r="E325" s="66"/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  <c r="AA325" s="66"/>
      <c r="AB325" s="66"/>
      <c r="AC325" s="66"/>
      <c r="AD325" s="66"/>
    </row>
    <row r="326">
      <c r="A326" s="131"/>
      <c r="B326" s="75"/>
      <c r="C326" s="75"/>
      <c r="D326" s="75"/>
      <c r="E326" s="66"/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  <c r="AA326" s="66"/>
      <c r="AB326" s="66"/>
      <c r="AC326" s="66"/>
      <c r="AD326" s="66"/>
    </row>
    <row r="327">
      <c r="A327" s="131"/>
      <c r="B327" s="75"/>
      <c r="C327" s="75"/>
      <c r="D327" s="75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  <c r="AA327" s="66"/>
      <c r="AB327" s="66"/>
      <c r="AC327" s="66"/>
      <c r="AD327" s="66"/>
    </row>
    <row r="328">
      <c r="A328" s="131"/>
      <c r="B328" s="75"/>
      <c r="C328" s="75"/>
      <c r="D328" s="75"/>
      <c r="E328" s="66"/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  <c r="AA328" s="66"/>
      <c r="AB328" s="66"/>
      <c r="AC328" s="66"/>
      <c r="AD328" s="66"/>
    </row>
    <row r="329">
      <c r="A329" s="131"/>
      <c r="B329" s="75"/>
      <c r="C329" s="75"/>
      <c r="D329" s="75"/>
      <c r="E329" s="66"/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  <c r="AA329" s="66"/>
      <c r="AB329" s="66"/>
      <c r="AC329" s="66"/>
      <c r="AD329" s="66"/>
    </row>
    <row r="330">
      <c r="A330" s="131"/>
      <c r="B330" s="75"/>
      <c r="C330" s="75"/>
      <c r="D330" s="75"/>
      <c r="E330" s="66"/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  <c r="AA330" s="66"/>
      <c r="AB330" s="66"/>
      <c r="AC330" s="66"/>
      <c r="AD330" s="66"/>
    </row>
    <row r="331">
      <c r="A331" s="131"/>
      <c r="B331" s="75"/>
      <c r="C331" s="75"/>
      <c r="D331" s="75"/>
      <c r="E331" s="66"/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  <c r="AA331" s="66"/>
      <c r="AB331" s="66"/>
      <c r="AC331" s="66"/>
      <c r="AD331" s="66"/>
    </row>
    <row r="332">
      <c r="A332" s="131"/>
      <c r="B332" s="75"/>
      <c r="C332" s="75"/>
      <c r="D332" s="75"/>
      <c r="E332" s="66"/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  <c r="AA332" s="66"/>
      <c r="AB332" s="66"/>
      <c r="AC332" s="66"/>
      <c r="AD332" s="66"/>
    </row>
    <row r="333">
      <c r="A333" s="131"/>
      <c r="B333" s="75"/>
      <c r="C333" s="75"/>
      <c r="D333" s="75"/>
      <c r="E333" s="66"/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  <c r="AA333" s="66"/>
      <c r="AB333" s="66"/>
      <c r="AC333" s="66"/>
      <c r="AD333" s="66"/>
    </row>
    <row r="334">
      <c r="A334" s="131"/>
      <c r="B334" s="75"/>
      <c r="C334" s="75"/>
      <c r="D334" s="75"/>
      <c r="E334" s="66"/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  <c r="AA334" s="66"/>
      <c r="AB334" s="66"/>
      <c r="AC334" s="66"/>
      <c r="AD334" s="66"/>
    </row>
    <row r="335">
      <c r="A335" s="131"/>
      <c r="B335" s="75"/>
      <c r="C335" s="75"/>
      <c r="D335" s="75"/>
      <c r="E335" s="66"/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  <c r="AA335" s="66"/>
      <c r="AB335" s="66"/>
      <c r="AC335" s="66"/>
      <c r="AD335" s="66"/>
    </row>
    <row r="336">
      <c r="A336" s="131"/>
      <c r="B336" s="75"/>
      <c r="C336" s="75"/>
      <c r="D336" s="75"/>
      <c r="E336" s="66"/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  <c r="AA336" s="66"/>
      <c r="AB336" s="66"/>
      <c r="AC336" s="66"/>
      <c r="AD336" s="66"/>
    </row>
    <row r="337">
      <c r="A337" s="131"/>
      <c r="B337" s="75"/>
      <c r="C337" s="75"/>
      <c r="D337" s="75"/>
      <c r="E337" s="66"/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  <c r="AA337" s="66"/>
      <c r="AB337" s="66"/>
      <c r="AC337" s="66"/>
      <c r="AD337" s="66"/>
    </row>
    <row r="338">
      <c r="A338" s="131"/>
      <c r="B338" s="75"/>
      <c r="C338" s="75"/>
      <c r="D338" s="75"/>
      <c r="E338" s="66"/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  <c r="AA338" s="66"/>
      <c r="AB338" s="66"/>
      <c r="AC338" s="66"/>
      <c r="AD338" s="66"/>
    </row>
    <row r="339">
      <c r="A339" s="131"/>
      <c r="B339" s="75"/>
      <c r="C339" s="75"/>
      <c r="D339" s="75"/>
      <c r="E339" s="66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  <c r="AA339" s="66"/>
      <c r="AB339" s="66"/>
      <c r="AC339" s="66"/>
      <c r="AD339" s="66"/>
    </row>
    <row r="340">
      <c r="A340" s="131"/>
      <c r="B340" s="75"/>
      <c r="C340" s="75"/>
      <c r="D340" s="75"/>
      <c r="E340" s="66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  <c r="AA340" s="66"/>
      <c r="AB340" s="66"/>
      <c r="AC340" s="66"/>
      <c r="AD340" s="66"/>
    </row>
    <row r="341">
      <c r="A341" s="131"/>
      <c r="B341" s="75"/>
      <c r="C341" s="75"/>
      <c r="D341" s="75"/>
      <c r="E341" s="66"/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  <c r="AA341" s="66"/>
      <c r="AB341" s="66"/>
      <c r="AC341" s="66"/>
      <c r="AD341" s="66"/>
    </row>
    <row r="342">
      <c r="A342" s="131"/>
      <c r="B342" s="75"/>
      <c r="C342" s="75"/>
      <c r="D342" s="75"/>
      <c r="E342" s="66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  <c r="AA342" s="66"/>
      <c r="AB342" s="66"/>
      <c r="AC342" s="66"/>
      <c r="AD342" s="66"/>
    </row>
    <row r="343">
      <c r="A343" s="131"/>
      <c r="B343" s="75"/>
      <c r="C343" s="75"/>
      <c r="D343" s="75"/>
      <c r="E343" s="66"/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  <c r="AA343" s="66"/>
      <c r="AB343" s="66"/>
      <c r="AC343" s="66"/>
      <c r="AD343" s="66"/>
    </row>
    <row r="344">
      <c r="A344" s="131"/>
      <c r="B344" s="75"/>
      <c r="C344" s="75"/>
      <c r="D344" s="75"/>
      <c r="E344" s="66"/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/>
      <c r="AB344" s="66"/>
      <c r="AC344" s="66"/>
      <c r="AD344" s="66"/>
    </row>
    <row r="345">
      <c r="A345" s="131"/>
      <c r="B345" s="75"/>
      <c r="C345" s="75"/>
      <c r="D345" s="75"/>
      <c r="E345" s="66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  <c r="AA345" s="66"/>
      <c r="AB345" s="66"/>
      <c r="AC345" s="66"/>
      <c r="AD345" s="66"/>
    </row>
    <row r="346">
      <c r="A346" s="131"/>
      <c r="B346" s="75"/>
      <c r="C346" s="75"/>
      <c r="D346" s="75"/>
      <c r="E346" s="66"/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/>
      <c r="AB346" s="66"/>
      <c r="AC346" s="66"/>
      <c r="AD346" s="66"/>
    </row>
    <row r="347">
      <c r="A347" s="131"/>
      <c r="B347" s="75"/>
      <c r="C347" s="75"/>
      <c r="D347" s="75"/>
      <c r="E347" s="66"/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  <c r="AA347" s="66"/>
      <c r="AB347" s="66"/>
      <c r="AC347" s="66"/>
      <c r="AD347" s="66"/>
    </row>
    <row r="348">
      <c r="A348" s="131"/>
      <c r="B348" s="75"/>
      <c r="C348" s="75"/>
      <c r="D348" s="75"/>
      <c r="E348" s="66"/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/>
      <c r="AB348" s="66"/>
      <c r="AC348" s="66"/>
      <c r="AD348" s="66"/>
    </row>
    <row r="349">
      <c r="A349" s="131"/>
      <c r="B349" s="75"/>
      <c r="C349" s="75"/>
      <c r="D349" s="75"/>
      <c r="E349" s="66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  <c r="AA349" s="66"/>
      <c r="AB349" s="66"/>
      <c r="AC349" s="66"/>
      <c r="AD349" s="66"/>
    </row>
    <row r="350">
      <c r="A350" s="131"/>
      <c r="B350" s="75"/>
      <c r="C350" s="75"/>
      <c r="D350" s="75"/>
      <c r="E350" s="66"/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  <c r="AA350" s="66"/>
      <c r="AB350" s="66"/>
      <c r="AC350" s="66"/>
      <c r="AD350" s="66"/>
    </row>
    <row r="351">
      <c r="A351" s="131"/>
      <c r="B351" s="75"/>
      <c r="C351" s="75"/>
      <c r="D351" s="75"/>
      <c r="E351" s="66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  <c r="AA351" s="66"/>
      <c r="AB351" s="66"/>
      <c r="AC351" s="66"/>
      <c r="AD351" s="66"/>
    </row>
    <row r="352">
      <c r="A352" s="131"/>
      <c r="B352" s="75"/>
      <c r="C352" s="75"/>
      <c r="D352" s="75"/>
      <c r="E352" s="66"/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  <c r="AA352" s="66"/>
      <c r="AB352" s="66"/>
      <c r="AC352" s="66"/>
      <c r="AD352" s="66"/>
    </row>
    <row r="353">
      <c r="A353" s="131"/>
      <c r="B353" s="75"/>
      <c r="C353" s="75"/>
      <c r="D353" s="75"/>
      <c r="E353" s="66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  <c r="AA353" s="66"/>
      <c r="AB353" s="66"/>
      <c r="AC353" s="66"/>
      <c r="AD353" s="66"/>
    </row>
    <row r="354">
      <c r="A354" s="131"/>
      <c r="B354" s="75"/>
      <c r="C354" s="75"/>
      <c r="D354" s="75"/>
      <c r="E354" s="66"/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  <c r="AA354" s="66"/>
      <c r="AB354" s="66"/>
      <c r="AC354" s="66"/>
      <c r="AD354" s="66"/>
    </row>
    <row r="355">
      <c r="A355" s="131"/>
      <c r="B355" s="75"/>
      <c r="C355" s="75"/>
      <c r="D355" s="75"/>
      <c r="E355" s="66"/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  <c r="AA355" s="66"/>
      <c r="AB355" s="66"/>
      <c r="AC355" s="66"/>
      <c r="AD355" s="66"/>
    </row>
    <row r="356">
      <c r="A356" s="131"/>
      <c r="B356" s="75"/>
      <c r="C356" s="75"/>
      <c r="D356" s="75"/>
      <c r="E356" s="66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  <c r="AA356" s="66"/>
      <c r="AB356" s="66"/>
      <c r="AC356" s="66"/>
      <c r="AD356" s="66"/>
    </row>
    <row r="357">
      <c r="A357" s="131"/>
      <c r="B357" s="75"/>
      <c r="C357" s="75"/>
      <c r="D357" s="75"/>
      <c r="E357" s="66"/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  <c r="AA357" s="66"/>
      <c r="AB357" s="66"/>
      <c r="AC357" s="66"/>
      <c r="AD357" s="66"/>
    </row>
    <row r="358">
      <c r="A358" s="131"/>
      <c r="B358" s="75"/>
      <c r="C358" s="75"/>
      <c r="D358" s="75"/>
      <c r="E358" s="66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  <c r="AA358" s="66"/>
      <c r="AB358" s="66"/>
      <c r="AC358" s="66"/>
      <c r="AD358" s="66"/>
    </row>
    <row r="359">
      <c r="A359" s="131"/>
      <c r="B359" s="75"/>
      <c r="C359" s="75"/>
      <c r="D359" s="75"/>
      <c r="E359" s="66"/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  <c r="AA359" s="66"/>
      <c r="AB359" s="66"/>
      <c r="AC359" s="66"/>
      <c r="AD359" s="66"/>
    </row>
    <row r="360">
      <c r="A360" s="131"/>
      <c r="B360" s="75"/>
      <c r="C360" s="75"/>
      <c r="D360" s="75"/>
      <c r="E360" s="66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  <c r="AA360" s="66"/>
      <c r="AB360" s="66"/>
      <c r="AC360" s="66"/>
      <c r="AD360" s="66"/>
    </row>
    <row r="361">
      <c r="A361" s="131"/>
      <c r="B361" s="75"/>
      <c r="C361" s="75"/>
      <c r="D361" s="75"/>
      <c r="E361" s="66"/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  <c r="AA361" s="66"/>
      <c r="AB361" s="66"/>
      <c r="AC361" s="66"/>
      <c r="AD361" s="66"/>
    </row>
    <row r="362">
      <c r="A362" s="131"/>
      <c r="B362" s="75"/>
      <c r="C362" s="75"/>
      <c r="D362" s="75"/>
      <c r="E362" s="66"/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  <c r="AA362" s="66"/>
      <c r="AB362" s="66"/>
      <c r="AC362" s="66"/>
      <c r="AD362" s="66"/>
    </row>
    <row r="363">
      <c r="A363" s="131"/>
      <c r="B363" s="75"/>
      <c r="C363" s="75"/>
      <c r="D363" s="75"/>
      <c r="E363" s="66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  <c r="AA363" s="66"/>
      <c r="AB363" s="66"/>
      <c r="AC363" s="66"/>
      <c r="AD363" s="66"/>
    </row>
    <row r="364">
      <c r="A364" s="131"/>
      <c r="B364" s="75"/>
      <c r="C364" s="75"/>
      <c r="D364" s="75"/>
      <c r="E364" s="66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  <c r="AA364" s="66"/>
      <c r="AB364" s="66"/>
      <c r="AC364" s="66"/>
      <c r="AD364" s="66"/>
    </row>
    <row r="365">
      <c r="A365" s="131"/>
      <c r="B365" s="75"/>
      <c r="C365" s="75"/>
      <c r="D365" s="75"/>
      <c r="E365" s="66"/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  <c r="AA365" s="66"/>
      <c r="AB365" s="66"/>
      <c r="AC365" s="66"/>
      <c r="AD365" s="66"/>
    </row>
    <row r="366">
      <c r="A366" s="131"/>
      <c r="B366" s="75"/>
      <c r="C366" s="75"/>
      <c r="D366" s="75"/>
      <c r="E366" s="66"/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  <c r="AA366" s="66"/>
      <c r="AB366" s="66"/>
      <c r="AC366" s="66"/>
      <c r="AD366" s="66"/>
    </row>
    <row r="367">
      <c r="A367" s="131"/>
      <c r="B367" s="75"/>
      <c r="C367" s="75"/>
      <c r="D367" s="75"/>
      <c r="E367" s="66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  <c r="AA367" s="66"/>
      <c r="AB367" s="66"/>
      <c r="AC367" s="66"/>
      <c r="AD367" s="66"/>
    </row>
    <row r="368">
      <c r="A368" s="131"/>
      <c r="B368" s="75"/>
      <c r="C368" s="75"/>
      <c r="D368" s="75"/>
      <c r="E368" s="66"/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  <c r="AA368" s="66"/>
      <c r="AB368" s="66"/>
      <c r="AC368" s="66"/>
      <c r="AD368" s="66"/>
    </row>
    <row r="369">
      <c r="A369" s="131"/>
      <c r="B369" s="75"/>
      <c r="C369" s="75"/>
      <c r="D369" s="75"/>
      <c r="E369" s="66"/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  <c r="AA369" s="66"/>
      <c r="AB369" s="66"/>
      <c r="AC369" s="66"/>
      <c r="AD369" s="66"/>
    </row>
    <row r="370">
      <c r="A370" s="131"/>
      <c r="B370" s="75"/>
      <c r="C370" s="75"/>
      <c r="D370" s="75"/>
      <c r="E370" s="66"/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  <c r="AA370" s="66"/>
      <c r="AB370" s="66"/>
      <c r="AC370" s="66"/>
      <c r="AD370" s="66"/>
    </row>
    <row r="371">
      <c r="A371" s="131"/>
      <c r="B371" s="75"/>
      <c r="C371" s="75"/>
      <c r="D371" s="75"/>
      <c r="E371" s="66"/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  <c r="AA371" s="66"/>
      <c r="AB371" s="66"/>
      <c r="AC371" s="66"/>
      <c r="AD371" s="66"/>
    </row>
    <row r="372">
      <c r="A372" s="131"/>
      <c r="B372" s="75"/>
      <c r="C372" s="75"/>
      <c r="D372" s="75"/>
      <c r="E372" s="66"/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  <c r="AA372" s="66"/>
      <c r="AB372" s="66"/>
      <c r="AC372" s="66"/>
      <c r="AD372" s="66"/>
    </row>
    <row r="373">
      <c r="A373" s="131"/>
      <c r="B373" s="75"/>
      <c r="C373" s="75"/>
      <c r="D373" s="75"/>
      <c r="E373" s="66"/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  <c r="AA373" s="66"/>
      <c r="AB373" s="66"/>
      <c r="AC373" s="66"/>
      <c r="AD373" s="66"/>
    </row>
    <row r="374">
      <c r="A374" s="131"/>
      <c r="B374" s="75"/>
      <c r="C374" s="75"/>
      <c r="D374" s="75"/>
      <c r="E374" s="66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  <c r="AA374" s="66"/>
      <c r="AB374" s="66"/>
      <c r="AC374" s="66"/>
      <c r="AD374" s="66"/>
    </row>
    <row r="375">
      <c r="A375" s="131"/>
      <c r="B375" s="75"/>
      <c r="C375" s="75"/>
      <c r="D375" s="75"/>
      <c r="E375" s="66"/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  <c r="AA375" s="66"/>
      <c r="AB375" s="66"/>
      <c r="AC375" s="66"/>
      <c r="AD375" s="66"/>
    </row>
    <row r="376">
      <c r="A376" s="131"/>
      <c r="B376" s="75"/>
      <c r="C376" s="75"/>
      <c r="D376" s="75"/>
      <c r="E376" s="66"/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  <c r="AA376" s="66"/>
      <c r="AB376" s="66"/>
      <c r="AC376" s="66"/>
      <c r="AD376" s="66"/>
    </row>
    <row r="377">
      <c r="A377" s="131"/>
      <c r="B377" s="75"/>
      <c r="C377" s="75"/>
      <c r="D377" s="75"/>
      <c r="E377" s="66"/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  <c r="AA377" s="66"/>
      <c r="AB377" s="66"/>
      <c r="AC377" s="66"/>
      <c r="AD377" s="66"/>
    </row>
    <row r="378">
      <c r="A378" s="131"/>
      <c r="B378" s="75"/>
      <c r="C378" s="75"/>
      <c r="D378" s="75"/>
      <c r="E378" s="66"/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  <c r="AA378" s="66"/>
      <c r="AB378" s="66"/>
      <c r="AC378" s="66"/>
      <c r="AD378" s="66"/>
    </row>
    <row r="379">
      <c r="A379" s="131"/>
      <c r="B379" s="75"/>
      <c r="C379" s="75"/>
      <c r="D379" s="75"/>
      <c r="E379" s="66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  <c r="AA379" s="66"/>
      <c r="AB379" s="66"/>
      <c r="AC379" s="66"/>
      <c r="AD379" s="66"/>
    </row>
    <row r="380">
      <c r="A380" s="131"/>
      <c r="B380" s="75"/>
      <c r="C380" s="75"/>
      <c r="D380" s="75"/>
      <c r="E380" s="66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  <c r="AA380" s="66"/>
      <c r="AB380" s="66"/>
      <c r="AC380" s="66"/>
      <c r="AD380" s="66"/>
    </row>
    <row r="381">
      <c r="A381" s="131"/>
      <c r="B381" s="75"/>
      <c r="C381" s="75"/>
      <c r="D381" s="75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  <c r="AA381" s="66"/>
      <c r="AB381" s="66"/>
      <c r="AC381" s="66"/>
      <c r="AD381" s="66"/>
    </row>
    <row r="382">
      <c r="A382" s="131"/>
      <c r="B382" s="75"/>
      <c r="C382" s="75"/>
      <c r="D382" s="75"/>
      <c r="E382" s="66"/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  <c r="AA382" s="66"/>
      <c r="AB382" s="66"/>
      <c r="AC382" s="66"/>
      <c r="AD382" s="66"/>
    </row>
    <row r="383">
      <c r="A383" s="131"/>
      <c r="B383" s="75"/>
      <c r="C383" s="75"/>
      <c r="D383" s="75"/>
      <c r="E383" s="66"/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  <c r="AA383" s="66"/>
      <c r="AB383" s="66"/>
      <c r="AC383" s="66"/>
      <c r="AD383" s="66"/>
    </row>
    <row r="384">
      <c r="A384" s="131"/>
      <c r="B384" s="75"/>
      <c r="C384" s="75"/>
      <c r="D384" s="75"/>
      <c r="E384" s="66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/>
      <c r="AB384" s="66"/>
      <c r="AC384" s="66"/>
      <c r="AD384" s="66"/>
    </row>
    <row r="385">
      <c r="A385" s="131"/>
      <c r="B385" s="75"/>
      <c r="C385" s="75"/>
      <c r="D385" s="75"/>
      <c r="E385" s="66"/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  <c r="AA385" s="66"/>
      <c r="AB385" s="66"/>
      <c r="AC385" s="66"/>
      <c r="AD385" s="66"/>
    </row>
    <row r="386">
      <c r="A386" s="131"/>
      <c r="B386" s="75"/>
      <c r="C386" s="75"/>
      <c r="D386" s="75"/>
      <c r="E386" s="66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/>
      <c r="AB386" s="66"/>
      <c r="AC386" s="66"/>
      <c r="AD386" s="66"/>
    </row>
    <row r="387">
      <c r="A387" s="131"/>
      <c r="B387" s="75"/>
      <c r="C387" s="75"/>
      <c r="D387" s="75"/>
      <c r="E387" s="66"/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  <c r="AA387" s="66"/>
      <c r="AB387" s="66"/>
      <c r="AC387" s="66"/>
      <c r="AD387" s="66"/>
    </row>
    <row r="388">
      <c r="A388" s="131"/>
      <c r="B388" s="75"/>
      <c r="C388" s="75"/>
      <c r="D388" s="75"/>
      <c r="E388" s="66"/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/>
      <c r="AB388" s="66"/>
      <c r="AC388" s="66"/>
      <c r="AD388" s="66"/>
    </row>
    <row r="389">
      <c r="A389" s="131"/>
      <c r="B389" s="75"/>
      <c r="C389" s="75"/>
      <c r="D389" s="75"/>
      <c r="E389" s="66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  <c r="AA389" s="66"/>
      <c r="AB389" s="66"/>
      <c r="AC389" s="66"/>
      <c r="AD389" s="66"/>
    </row>
    <row r="390">
      <c r="A390" s="131"/>
      <c r="B390" s="75"/>
      <c r="C390" s="75"/>
      <c r="D390" s="75"/>
      <c r="E390" s="66"/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  <c r="AA390" s="66"/>
      <c r="AB390" s="66"/>
      <c r="AC390" s="66"/>
      <c r="AD390" s="66"/>
    </row>
    <row r="391">
      <c r="A391" s="131"/>
      <c r="B391" s="75"/>
      <c r="C391" s="75"/>
      <c r="D391" s="75"/>
      <c r="E391" s="66"/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  <c r="AA391" s="66"/>
      <c r="AB391" s="66"/>
      <c r="AC391" s="66"/>
      <c r="AD391" s="66"/>
    </row>
    <row r="392">
      <c r="A392" s="131"/>
      <c r="B392" s="75"/>
      <c r="C392" s="75"/>
      <c r="D392" s="75"/>
      <c r="E392" s="66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  <c r="AA392" s="66"/>
      <c r="AB392" s="66"/>
      <c r="AC392" s="66"/>
      <c r="AD392" s="66"/>
    </row>
    <row r="393">
      <c r="A393" s="131"/>
      <c r="B393" s="75"/>
      <c r="C393" s="75"/>
      <c r="D393" s="75"/>
      <c r="E393" s="66"/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  <c r="AA393" s="66"/>
      <c r="AB393" s="66"/>
      <c r="AC393" s="66"/>
      <c r="AD393" s="66"/>
    </row>
    <row r="394">
      <c r="A394" s="131"/>
      <c r="B394" s="75"/>
      <c r="C394" s="75"/>
      <c r="D394" s="75"/>
      <c r="E394" s="66"/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  <c r="AA394" s="66"/>
      <c r="AB394" s="66"/>
      <c r="AC394" s="66"/>
      <c r="AD394" s="66"/>
    </row>
    <row r="395">
      <c r="A395" s="131"/>
      <c r="B395" s="75"/>
      <c r="C395" s="75"/>
      <c r="D395" s="75"/>
      <c r="E395" s="66"/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  <c r="AA395" s="66"/>
      <c r="AB395" s="66"/>
      <c r="AC395" s="66"/>
      <c r="AD395" s="66"/>
    </row>
    <row r="396">
      <c r="A396" s="131"/>
      <c r="B396" s="75"/>
      <c r="C396" s="75"/>
      <c r="D396" s="75"/>
      <c r="E396" s="66"/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  <c r="AA396" s="66"/>
      <c r="AB396" s="66"/>
      <c r="AC396" s="66"/>
      <c r="AD396" s="66"/>
    </row>
    <row r="397">
      <c r="A397" s="131"/>
      <c r="B397" s="75"/>
      <c r="C397" s="75"/>
      <c r="D397" s="75"/>
      <c r="E397" s="66"/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  <c r="AA397" s="66"/>
      <c r="AB397" s="66"/>
      <c r="AC397" s="66"/>
      <c r="AD397" s="66"/>
    </row>
    <row r="398">
      <c r="A398" s="131"/>
      <c r="B398" s="75"/>
      <c r="C398" s="75"/>
      <c r="D398" s="75"/>
      <c r="E398" s="66"/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  <c r="AA398" s="66"/>
      <c r="AB398" s="66"/>
      <c r="AC398" s="66"/>
      <c r="AD398" s="66"/>
    </row>
    <row r="399">
      <c r="A399" s="131"/>
      <c r="B399" s="75"/>
      <c r="C399" s="75"/>
      <c r="D399" s="75"/>
      <c r="E399" s="66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  <c r="AA399" s="66"/>
      <c r="AB399" s="66"/>
      <c r="AC399" s="66"/>
      <c r="AD399" s="66"/>
    </row>
    <row r="400">
      <c r="A400" s="131"/>
      <c r="B400" s="75"/>
      <c r="C400" s="75"/>
      <c r="D400" s="75"/>
      <c r="E400" s="66"/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  <c r="AA400" s="66"/>
      <c r="AB400" s="66"/>
      <c r="AC400" s="66"/>
      <c r="AD400" s="66"/>
    </row>
    <row r="401">
      <c r="A401" s="131"/>
      <c r="B401" s="75"/>
      <c r="C401" s="75"/>
      <c r="D401" s="75"/>
      <c r="E401" s="66"/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  <c r="AA401" s="66"/>
      <c r="AB401" s="66"/>
      <c r="AC401" s="66"/>
      <c r="AD401" s="66"/>
    </row>
    <row r="402">
      <c r="A402" s="131"/>
      <c r="B402" s="75"/>
      <c r="C402" s="75"/>
      <c r="D402" s="75"/>
      <c r="E402" s="66"/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  <c r="AA402" s="66"/>
      <c r="AB402" s="66"/>
      <c r="AC402" s="66"/>
      <c r="AD402" s="66"/>
    </row>
    <row r="403">
      <c r="A403" s="131"/>
      <c r="B403" s="75"/>
      <c r="C403" s="75"/>
      <c r="D403" s="75"/>
      <c r="E403" s="66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  <c r="AA403" s="66"/>
      <c r="AB403" s="66"/>
      <c r="AC403" s="66"/>
      <c r="AD403" s="66"/>
    </row>
    <row r="404">
      <c r="A404" s="131"/>
      <c r="B404" s="75"/>
      <c r="C404" s="75"/>
      <c r="D404" s="75"/>
      <c r="E404" s="66"/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  <c r="AA404" s="66"/>
      <c r="AB404" s="66"/>
      <c r="AC404" s="66"/>
      <c r="AD404" s="66"/>
    </row>
    <row r="405">
      <c r="A405" s="131"/>
      <c r="B405" s="75"/>
      <c r="C405" s="75"/>
      <c r="D405" s="75"/>
      <c r="E405" s="66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  <c r="AA405" s="66"/>
      <c r="AB405" s="66"/>
      <c r="AC405" s="66"/>
      <c r="AD405" s="66"/>
    </row>
    <row r="406">
      <c r="A406" s="131"/>
      <c r="B406" s="75"/>
      <c r="C406" s="75"/>
      <c r="D406" s="75"/>
      <c r="E406" s="66"/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  <c r="AA406" s="66"/>
      <c r="AB406" s="66"/>
      <c r="AC406" s="66"/>
      <c r="AD406" s="66"/>
    </row>
    <row r="407">
      <c r="A407" s="131"/>
      <c r="B407" s="75"/>
      <c r="C407" s="75"/>
      <c r="D407" s="75"/>
      <c r="E407" s="66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  <c r="AA407" s="66"/>
      <c r="AB407" s="66"/>
      <c r="AC407" s="66"/>
      <c r="AD407" s="66"/>
    </row>
    <row r="408">
      <c r="A408" s="131"/>
      <c r="B408" s="75"/>
      <c r="C408" s="75"/>
      <c r="D408" s="75"/>
      <c r="E408" s="66"/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  <c r="AA408" s="66"/>
      <c r="AB408" s="66"/>
      <c r="AC408" s="66"/>
      <c r="AD408" s="66"/>
    </row>
    <row r="409">
      <c r="A409" s="131"/>
      <c r="B409" s="75"/>
      <c r="C409" s="75"/>
      <c r="D409" s="75"/>
      <c r="E409" s="66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  <c r="AA409" s="66"/>
      <c r="AB409" s="66"/>
      <c r="AC409" s="66"/>
      <c r="AD409" s="66"/>
    </row>
    <row r="410">
      <c r="A410" s="131"/>
      <c r="B410" s="75"/>
      <c r="C410" s="75"/>
      <c r="D410" s="75"/>
      <c r="E410" s="66"/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  <c r="AA410" s="66"/>
      <c r="AB410" s="66"/>
      <c r="AC410" s="66"/>
      <c r="AD410" s="66"/>
    </row>
    <row r="411">
      <c r="A411" s="131"/>
      <c r="B411" s="75"/>
      <c r="C411" s="75"/>
      <c r="D411" s="75"/>
      <c r="E411" s="66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  <c r="AA411" s="66"/>
      <c r="AB411" s="66"/>
      <c r="AC411" s="66"/>
      <c r="AD411" s="66"/>
    </row>
    <row r="412">
      <c r="A412" s="131"/>
      <c r="B412" s="75"/>
      <c r="C412" s="75"/>
      <c r="D412" s="75"/>
      <c r="E412" s="66"/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  <c r="AA412" s="66"/>
      <c r="AB412" s="66"/>
      <c r="AC412" s="66"/>
      <c r="AD412" s="66"/>
    </row>
    <row r="413">
      <c r="A413" s="131"/>
      <c r="B413" s="75"/>
      <c r="C413" s="75"/>
      <c r="D413" s="75"/>
      <c r="E413" s="66"/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  <c r="AA413" s="66"/>
      <c r="AB413" s="66"/>
      <c r="AC413" s="66"/>
      <c r="AD413" s="66"/>
    </row>
    <row r="414">
      <c r="A414" s="131"/>
      <c r="B414" s="75"/>
      <c r="C414" s="75"/>
      <c r="D414" s="75"/>
      <c r="E414" s="66"/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  <c r="AA414" s="66"/>
      <c r="AB414" s="66"/>
      <c r="AC414" s="66"/>
      <c r="AD414" s="66"/>
    </row>
    <row r="415">
      <c r="A415" s="131"/>
      <c r="B415" s="75"/>
      <c r="C415" s="75"/>
      <c r="D415" s="75"/>
      <c r="E415" s="66"/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  <c r="AA415" s="66"/>
      <c r="AB415" s="66"/>
      <c r="AC415" s="66"/>
      <c r="AD415" s="66"/>
    </row>
    <row r="416">
      <c r="A416" s="131"/>
      <c r="B416" s="75"/>
      <c r="C416" s="75"/>
      <c r="D416" s="75"/>
      <c r="E416" s="66"/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  <c r="AA416" s="66"/>
      <c r="AB416" s="66"/>
      <c r="AC416" s="66"/>
      <c r="AD416" s="66"/>
    </row>
    <row r="417">
      <c r="A417" s="131"/>
      <c r="B417" s="75"/>
      <c r="C417" s="75"/>
      <c r="D417" s="75"/>
      <c r="E417" s="66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  <c r="AA417" s="66"/>
      <c r="AB417" s="66"/>
      <c r="AC417" s="66"/>
      <c r="AD417" s="66"/>
    </row>
    <row r="418">
      <c r="A418" s="131"/>
      <c r="B418" s="75"/>
      <c r="C418" s="75"/>
      <c r="D418" s="75"/>
      <c r="E418" s="66"/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  <c r="AA418" s="66"/>
      <c r="AB418" s="66"/>
      <c r="AC418" s="66"/>
      <c r="AD418" s="66"/>
    </row>
    <row r="419">
      <c r="A419" s="131"/>
      <c r="B419" s="75"/>
      <c r="C419" s="75"/>
      <c r="D419" s="75"/>
      <c r="E419" s="66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  <c r="AA419" s="66"/>
      <c r="AB419" s="66"/>
      <c r="AC419" s="66"/>
      <c r="AD419" s="66"/>
    </row>
    <row r="420">
      <c r="A420" s="131"/>
      <c r="B420" s="75"/>
      <c r="C420" s="75"/>
      <c r="D420" s="75"/>
      <c r="E420" s="66"/>
      <c r="F420" s="66"/>
      <c r="G420" s="66"/>
      <c r="H420" s="66"/>
      <c r="I420" s="66"/>
      <c r="J420" s="66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  <c r="AA420" s="66"/>
      <c r="AB420" s="66"/>
      <c r="AC420" s="66"/>
      <c r="AD420" s="66"/>
    </row>
    <row r="421">
      <c r="A421" s="131"/>
      <c r="B421" s="75"/>
      <c r="C421" s="75"/>
      <c r="D421" s="75"/>
      <c r="E421" s="66"/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  <c r="AA421" s="66"/>
      <c r="AB421" s="66"/>
      <c r="AC421" s="66"/>
      <c r="AD421" s="66"/>
    </row>
    <row r="422">
      <c r="A422" s="131"/>
      <c r="B422" s="75"/>
      <c r="C422" s="75"/>
      <c r="D422" s="75"/>
      <c r="E422" s="66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  <c r="AA422" s="66"/>
      <c r="AB422" s="66"/>
      <c r="AC422" s="66"/>
      <c r="AD422" s="66"/>
    </row>
    <row r="423">
      <c r="A423" s="131"/>
      <c r="B423" s="75"/>
      <c r="C423" s="75"/>
      <c r="D423" s="75"/>
      <c r="E423" s="66"/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  <c r="AA423" s="66"/>
      <c r="AB423" s="66"/>
      <c r="AC423" s="66"/>
      <c r="AD423" s="66"/>
    </row>
    <row r="424">
      <c r="A424" s="131"/>
      <c r="B424" s="75"/>
      <c r="C424" s="75"/>
      <c r="D424" s="75"/>
      <c r="E424" s="66"/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/>
      <c r="AB424" s="66"/>
      <c r="AC424" s="66"/>
      <c r="AD424" s="66"/>
    </row>
    <row r="425">
      <c r="A425" s="131"/>
      <c r="B425" s="75"/>
      <c r="C425" s="75"/>
      <c r="D425" s="75"/>
      <c r="E425" s="66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  <c r="AA425" s="66"/>
      <c r="AB425" s="66"/>
      <c r="AC425" s="66"/>
      <c r="AD425" s="66"/>
    </row>
    <row r="426">
      <c r="A426" s="131"/>
      <c r="B426" s="75"/>
      <c r="C426" s="75"/>
      <c r="D426" s="75"/>
      <c r="E426" s="66"/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/>
      <c r="AB426" s="66"/>
      <c r="AC426" s="66"/>
      <c r="AD426" s="66"/>
    </row>
    <row r="427">
      <c r="A427" s="131"/>
      <c r="B427" s="75"/>
      <c r="C427" s="75"/>
      <c r="D427" s="75"/>
      <c r="E427" s="66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  <c r="AA427" s="66"/>
      <c r="AB427" s="66"/>
      <c r="AC427" s="66"/>
      <c r="AD427" s="66"/>
    </row>
    <row r="428">
      <c r="A428" s="131"/>
      <c r="B428" s="75"/>
      <c r="C428" s="75"/>
      <c r="D428" s="75"/>
      <c r="E428" s="66"/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/>
      <c r="AB428" s="66"/>
      <c r="AC428" s="66"/>
      <c r="AD428" s="66"/>
    </row>
    <row r="429">
      <c r="A429" s="131"/>
      <c r="B429" s="75"/>
      <c r="C429" s="75"/>
      <c r="D429" s="75"/>
      <c r="E429" s="66"/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  <c r="AA429" s="66"/>
      <c r="AB429" s="66"/>
      <c r="AC429" s="66"/>
      <c r="AD429" s="66"/>
    </row>
    <row r="430">
      <c r="A430" s="131"/>
      <c r="B430" s="75"/>
      <c r="C430" s="75"/>
      <c r="D430" s="75"/>
      <c r="E430" s="66"/>
      <c r="F430" s="66"/>
      <c r="G430" s="66"/>
      <c r="H430" s="66"/>
      <c r="I430" s="66"/>
      <c r="J430" s="66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  <c r="AA430" s="66"/>
      <c r="AB430" s="66"/>
      <c r="AC430" s="66"/>
      <c r="AD430" s="66"/>
    </row>
    <row r="431">
      <c r="A431" s="131"/>
      <c r="B431" s="75"/>
      <c r="C431" s="75"/>
      <c r="D431" s="75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  <c r="AA431" s="66"/>
      <c r="AB431" s="66"/>
      <c r="AC431" s="66"/>
      <c r="AD431" s="66"/>
    </row>
    <row r="432">
      <c r="A432" s="131"/>
      <c r="B432" s="75"/>
      <c r="C432" s="75"/>
      <c r="D432" s="75"/>
      <c r="E432" s="66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  <c r="AA432" s="66"/>
      <c r="AB432" s="66"/>
      <c r="AC432" s="66"/>
      <c r="AD432" s="66"/>
    </row>
    <row r="433">
      <c r="A433" s="131"/>
      <c r="B433" s="75"/>
      <c r="C433" s="75"/>
      <c r="D433" s="75"/>
      <c r="E433" s="66"/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  <c r="AA433" s="66"/>
      <c r="AB433" s="66"/>
      <c r="AC433" s="66"/>
      <c r="AD433" s="66"/>
    </row>
    <row r="434">
      <c r="A434" s="131"/>
      <c r="B434" s="75"/>
      <c r="C434" s="75"/>
      <c r="D434" s="75"/>
      <c r="E434" s="66"/>
      <c r="F434" s="66"/>
      <c r="G434" s="66"/>
      <c r="H434" s="66"/>
      <c r="I434" s="66"/>
      <c r="J434" s="66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  <c r="AA434" s="66"/>
      <c r="AB434" s="66"/>
      <c r="AC434" s="66"/>
      <c r="AD434" s="66"/>
    </row>
    <row r="435">
      <c r="A435" s="131"/>
      <c r="B435" s="75"/>
      <c r="C435" s="75"/>
      <c r="D435" s="75"/>
      <c r="E435" s="66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  <c r="AA435" s="66"/>
      <c r="AB435" s="66"/>
      <c r="AC435" s="66"/>
      <c r="AD435" s="66"/>
    </row>
    <row r="436">
      <c r="A436" s="131"/>
      <c r="B436" s="75"/>
      <c r="C436" s="75"/>
      <c r="D436" s="75"/>
      <c r="E436" s="66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  <c r="AA436" s="66"/>
      <c r="AB436" s="66"/>
      <c r="AC436" s="66"/>
      <c r="AD436" s="66"/>
    </row>
    <row r="437">
      <c r="A437" s="131"/>
      <c r="B437" s="75"/>
      <c r="C437" s="75"/>
      <c r="D437" s="75"/>
      <c r="E437" s="66"/>
      <c r="F437" s="66"/>
      <c r="G437" s="66"/>
      <c r="H437" s="66"/>
      <c r="I437" s="66"/>
      <c r="J437" s="66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  <c r="AA437" s="66"/>
      <c r="AB437" s="66"/>
      <c r="AC437" s="66"/>
      <c r="AD437" s="66"/>
    </row>
    <row r="438">
      <c r="A438" s="131"/>
      <c r="B438" s="75"/>
      <c r="C438" s="75"/>
      <c r="D438" s="75"/>
      <c r="E438" s="66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  <c r="AA438" s="66"/>
      <c r="AB438" s="66"/>
      <c r="AC438" s="66"/>
      <c r="AD438" s="66"/>
    </row>
    <row r="439">
      <c r="A439" s="131"/>
      <c r="B439" s="75"/>
      <c r="C439" s="75"/>
      <c r="D439" s="75"/>
      <c r="E439" s="66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  <c r="AA439" s="66"/>
      <c r="AB439" s="66"/>
      <c r="AC439" s="66"/>
      <c r="AD439" s="66"/>
    </row>
    <row r="440">
      <c r="A440" s="131"/>
      <c r="B440" s="75"/>
      <c r="C440" s="75"/>
      <c r="D440" s="75"/>
      <c r="E440" s="66"/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  <c r="AA440" s="66"/>
      <c r="AB440" s="66"/>
      <c r="AC440" s="66"/>
      <c r="AD440" s="66"/>
    </row>
    <row r="441">
      <c r="A441" s="131"/>
      <c r="B441" s="75"/>
      <c r="C441" s="75"/>
      <c r="D441" s="75"/>
      <c r="E441" s="66"/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  <c r="AA441" s="66"/>
      <c r="AB441" s="66"/>
      <c r="AC441" s="66"/>
      <c r="AD441" s="66"/>
    </row>
    <row r="442">
      <c r="A442" s="131"/>
      <c r="B442" s="75"/>
      <c r="C442" s="75"/>
      <c r="D442" s="75"/>
      <c r="E442" s="66"/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  <c r="AA442" s="66"/>
      <c r="AB442" s="66"/>
      <c r="AC442" s="66"/>
      <c r="AD442" s="66"/>
    </row>
    <row r="443">
      <c r="A443" s="131"/>
      <c r="B443" s="75"/>
      <c r="C443" s="75"/>
      <c r="D443" s="75"/>
      <c r="E443" s="66"/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  <c r="AA443" s="66"/>
      <c r="AB443" s="66"/>
      <c r="AC443" s="66"/>
      <c r="AD443" s="66"/>
    </row>
    <row r="444">
      <c r="A444" s="131"/>
      <c r="B444" s="75"/>
      <c r="C444" s="75"/>
      <c r="D444" s="75"/>
      <c r="E444" s="66"/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  <c r="AA444" s="66"/>
      <c r="AB444" s="66"/>
      <c r="AC444" s="66"/>
      <c r="AD444" s="66"/>
    </row>
    <row r="445">
      <c r="A445" s="131"/>
      <c r="B445" s="75"/>
      <c r="C445" s="75"/>
      <c r="D445" s="75"/>
      <c r="E445" s="66"/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  <c r="AA445" s="66"/>
      <c r="AB445" s="66"/>
      <c r="AC445" s="66"/>
      <c r="AD445" s="66"/>
    </row>
    <row r="446">
      <c r="A446" s="131"/>
      <c r="B446" s="75"/>
      <c r="C446" s="75"/>
      <c r="D446" s="75"/>
      <c r="E446" s="66"/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  <c r="AA446" s="66"/>
      <c r="AB446" s="66"/>
      <c r="AC446" s="66"/>
      <c r="AD446" s="66"/>
    </row>
    <row r="447">
      <c r="A447" s="131"/>
      <c r="B447" s="75"/>
      <c r="C447" s="75"/>
      <c r="D447" s="75"/>
      <c r="E447" s="66"/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  <c r="AA447" s="66"/>
      <c r="AB447" s="66"/>
      <c r="AC447" s="66"/>
      <c r="AD447" s="66"/>
    </row>
    <row r="448">
      <c r="A448" s="131"/>
      <c r="B448" s="75"/>
      <c r="C448" s="75"/>
      <c r="D448" s="75"/>
      <c r="E448" s="66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  <c r="AA448" s="66"/>
      <c r="AB448" s="66"/>
      <c r="AC448" s="66"/>
      <c r="AD448" s="66"/>
    </row>
    <row r="449">
      <c r="A449" s="131"/>
      <c r="B449" s="75"/>
      <c r="C449" s="75"/>
      <c r="D449" s="75"/>
      <c r="E449" s="66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  <c r="AA449" s="66"/>
      <c r="AB449" s="66"/>
      <c r="AC449" s="66"/>
      <c r="AD449" s="66"/>
    </row>
    <row r="450">
      <c r="A450" s="131"/>
      <c r="B450" s="75"/>
      <c r="C450" s="75"/>
      <c r="D450" s="75"/>
      <c r="E450" s="66"/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  <c r="AA450" s="66"/>
      <c r="AB450" s="66"/>
      <c r="AC450" s="66"/>
      <c r="AD450" s="66"/>
    </row>
    <row r="451">
      <c r="A451" s="131"/>
      <c r="B451" s="75"/>
      <c r="C451" s="75"/>
      <c r="D451" s="75"/>
      <c r="E451" s="66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  <c r="AA451" s="66"/>
      <c r="AB451" s="66"/>
      <c r="AC451" s="66"/>
      <c r="AD451" s="66"/>
    </row>
    <row r="452">
      <c r="A452" s="131"/>
      <c r="B452" s="75"/>
      <c r="C452" s="75"/>
      <c r="D452" s="75"/>
      <c r="E452" s="66"/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  <c r="AA452" s="66"/>
      <c r="AB452" s="66"/>
      <c r="AC452" s="66"/>
      <c r="AD452" s="66"/>
    </row>
    <row r="453">
      <c r="A453" s="131"/>
      <c r="B453" s="75"/>
      <c r="C453" s="75"/>
      <c r="D453" s="75"/>
      <c r="E453" s="66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  <c r="AA453" s="66"/>
      <c r="AB453" s="66"/>
      <c r="AC453" s="66"/>
      <c r="AD453" s="66"/>
    </row>
    <row r="454">
      <c r="A454" s="131"/>
      <c r="B454" s="75"/>
      <c r="C454" s="75"/>
      <c r="D454" s="75"/>
      <c r="E454" s="66"/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  <c r="AA454" s="66"/>
      <c r="AB454" s="66"/>
      <c r="AC454" s="66"/>
      <c r="AD454" s="66"/>
    </row>
    <row r="455">
      <c r="A455" s="131"/>
      <c r="B455" s="75"/>
      <c r="C455" s="75"/>
      <c r="D455" s="75"/>
      <c r="E455" s="66"/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  <c r="AA455" s="66"/>
      <c r="AB455" s="66"/>
      <c r="AC455" s="66"/>
      <c r="AD455" s="66"/>
    </row>
    <row r="456">
      <c r="A456" s="131"/>
      <c r="B456" s="75"/>
      <c r="C456" s="75"/>
      <c r="D456" s="75"/>
      <c r="E456" s="66"/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  <c r="AA456" s="66"/>
      <c r="AB456" s="66"/>
      <c r="AC456" s="66"/>
      <c r="AD456" s="66"/>
    </row>
    <row r="457">
      <c r="A457" s="131"/>
      <c r="B457" s="75"/>
      <c r="C457" s="75"/>
      <c r="D457" s="75"/>
      <c r="E457" s="66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  <c r="AA457" s="66"/>
      <c r="AB457" s="66"/>
      <c r="AC457" s="66"/>
      <c r="AD457" s="66"/>
    </row>
    <row r="458">
      <c r="A458" s="131"/>
      <c r="B458" s="75"/>
      <c r="C458" s="75"/>
      <c r="D458" s="75"/>
      <c r="E458" s="66"/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  <c r="AA458" s="66"/>
      <c r="AB458" s="66"/>
      <c r="AC458" s="66"/>
      <c r="AD458" s="66"/>
    </row>
    <row r="459">
      <c r="A459" s="131"/>
      <c r="B459" s="75"/>
      <c r="C459" s="75"/>
      <c r="D459" s="75"/>
      <c r="E459" s="66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  <c r="AA459" s="66"/>
      <c r="AB459" s="66"/>
      <c r="AC459" s="66"/>
      <c r="AD459" s="66"/>
    </row>
    <row r="460">
      <c r="A460" s="131"/>
      <c r="B460" s="75"/>
      <c r="C460" s="75"/>
      <c r="D460" s="75"/>
      <c r="E460" s="66"/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</row>
    <row r="461">
      <c r="A461" s="131"/>
      <c r="B461" s="75"/>
      <c r="C461" s="75"/>
      <c r="D461" s="75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</row>
    <row r="462">
      <c r="A462" s="131"/>
      <c r="B462" s="75"/>
      <c r="C462" s="75"/>
      <c r="D462" s="75"/>
      <c r="E462" s="66"/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  <c r="AA462" s="66"/>
      <c r="AB462" s="66"/>
      <c r="AC462" s="66"/>
      <c r="AD462" s="66"/>
    </row>
    <row r="463">
      <c r="A463" s="131"/>
      <c r="B463" s="75"/>
      <c r="C463" s="75"/>
      <c r="D463" s="75"/>
      <c r="E463" s="66"/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  <c r="AA463" s="66"/>
      <c r="AB463" s="66"/>
      <c r="AC463" s="66"/>
      <c r="AD463" s="66"/>
    </row>
    <row r="464">
      <c r="A464" s="131"/>
      <c r="B464" s="75"/>
      <c r="C464" s="75"/>
      <c r="D464" s="75"/>
      <c r="E464" s="66"/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/>
      <c r="AB464" s="66"/>
      <c r="AC464" s="66"/>
      <c r="AD464" s="66"/>
    </row>
    <row r="465">
      <c r="A465" s="131"/>
      <c r="B465" s="75"/>
      <c r="C465" s="75"/>
      <c r="D465" s="75"/>
      <c r="E465" s="66"/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  <c r="AA465" s="66"/>
      <c r="AB465" s="66"/>
      <c r="AC465" s="66"/>
      <c r="AD465" s="66"/>
    </row>
    <row r="466">
      <c r="A466" s="131"/>
      <c r="B466" s="75"/>
      <c r="C466" s="75"/>
      <c r="D466" s="75"/>
      <c r="E466" s="66"/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/>
      <c r="AB466" s="66"/>
      <c r="AC466" s="66"/>
      <c r="AD466" s="66"/>
    </row>
    <row r="467">
      <c r="A467" s="131"/>
      <c r="B467" s="75"/>
      <c r="C467" s="75"/>
      <c r="D467" s="75"/>
      <c r="E467" s="66"/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  <c r="AA467" s="66"/>
      <c r="AB467" s="66"/>
      <c r="AC467" s="66"/>
      <c r="AD467" s="66"/>
    </row>
    <row r="468">
      <c r="A468" s="131"/>
      <c r="B468" s="75"/>
      <c r="C468" s="75"/>
      <c r="D468" s="75"/>
      <c r="E468" s="66"/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/>
      <c r="AB468" s="66"/>
      <c r="AC468" s="66"/>
      <c r="AD468" s="66"/>
    </row>
    <row r="469">
      <c r="A469" s="131"/>
      <c r="B469" s="75"/>
      <c r="C469" s="75"/>
      <c r="D469" s="75"/>
      <c r="E469" s="66"/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  <c r="AA469" s="66"/>
      <c r="AB469" s="66"/>
      <c r="AC469" s="66"/>
      <c r="AD469" s="66"/>
    </row>
    <row r="470">
      <c r="A470" s="131"/>
      <c r="B470" s="75"/>
      <c r="C470" s="75"/>
      <c r="D470" s="75"/>
      <c r="E470" s="66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  <c r="AA470" s="66"/>
      <c r="AB470" s="66"/>
      <c r="AC470" s="66"/>
      <c r="AD470" s="66"/>
    </row>
    <row r="471">
      <c r="A471" s="131"/>
      <c r="B471" s="75"/>
      <c r="C471" s="75"/>
      <c r="D471" s="75"/>
      <c r="E471" s="66"/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  <c r="AA471" s="66"/>
      <c r="AB471" s="66"/>
      <c r="AC471" s="66"/>
      <c r="AD471" s="66"/>
    </row>
    <row r="472">
      <c r="A472" s="131"/>
      <c r="B472" s="75"/>
      <c r="C472" s="75"/>
      <c r="D472" s="75"/>
      <c r="E472" s="66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  <c r="AA472" s="66"/>
      <c r="AB472" s="66"/>
      <c r="AC472" s="66"/>
      <c r="AD472" s="66"/>
    </row>
    <row r="473">
      <c r="A473" s="131"/>
      <c r="B473" s="75"/>
      <c r="C473" s="75"/>
      <c r="D473" s="75"/>
      <c r="E473" s="66"/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  <c r="AA473" s="66"/>
      <c r="AB473" s="66"/>
      <c r="AC473" s="66"/>
      <c r="AD473" s="66"/>
    </row>
    <row r="474">
      <c r="A474" s="131"/>
      <c r="B474" s="75"/>
      <c r="C474" s="75"/>
      <c r="D474" s="75"/>
      <c r="E474" s="66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  <c r="AA474" s="66"/>
      <c r="AB474" s="66"/>
      <c r="AC474" s="66"/>
      <c r="AD474" s="66"/>
    </row>
    <row r="475">
      <c r="A475" s="131"/>
      <c r="B475" s="75"/>
      <c r="C475" s="75"/>
      <c r="D475" s="75"/>
      <c r="E475" s="66"/>
      <c r="F475" s="66"/>
      <c r="G475" s="66"/>
      <c r="H475" s="66"/>
      <c r="I475" s="66"/>
      <c r="J475" s="66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  <c r="AA475" s="66"/>
      <c r="AB475" s="66"/>
      <c r="AC475" s="66"/>
      <c r="AD475" s="66"/>
    </row>
    <row r="476">
      <c r="A476" s="131"/>
      <c r="B476" s="75"/>
      <c r="C476" s="75"/>
      <c r="D476" s="75"/>
      <c r="E476" s="66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  <c r="AA476" s="66"/>
      <c r="AB476" s="66"/>
      <c r="AC476" s="66"/>
      <c r="AD476" s="66"/>
    </row>
    <row r="477">
      <c r="A477" s="131"/>
      <c r="B477" s="75"/>
      <c r="C477" s="75"/>
      <c r="D477" s="75"/>
      <c r="E477" s="66"/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  <c r="AA477" s="66"/>
      <c r="AB477" s="66"/>
      <c r="AC477" s="66"/>
      <c r="AD477" s="66"/>
    </row>
    <row r="478">
      <c r="A478" s="131"/>
      <c r="B478" s="75"/>
      <c r="C478" s="75"/>
      <c r="D478" s="75"/>
      <c r="E478" s="66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  <c r="AA478" s="66"/>
      <c r="AB478" s="66"/>
      <c r="AC478" s="66"/>
      <c r="AD478" s="66"/>
    </row>
    <row r="479">
      <c r="A479" s="131"/>
      <c r="B479" s="75"/>
      <c r="C479" s="75"/>
      <c r="D479" s="75"/>
      <c r="E479" s="66"/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  <c r="AA479" s="66"/>
      <c r="AB479" s="66"/>
      <c r="AC479" s="66"/>
      <c r="AD479" s="66"/>
    </row>
    <row r="480">
      <c r="A480" s="131"/>
      <c r="B480" s="75"/>
      <c r="C480" s="75"/>
      <c r="D480" s="75"/>
      <c r="E480" s="66"/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  <c r="AA480" s="66"/>
      <c r="AB480" s="66"/>
      <c r="AC480" s="66"/>
      <c r="AD480" s="66"/>
    </row>
    <row r="481">
      <c r="A481" s="131"/>
      <c r="B481" s="75"/>
      <c r="C481" s="75"/>
      <c r="D481" s="75"/>
      <c r="E481" s="66"/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  <c r="AA481" s="66"/>
      <c r="AB481" s="66"/>
      <c r="AC481" s="66"/>
      <c r="AD481" s="66"/>
    </row>
    <row r="482">
      <c r="A482" s="131"/>
      <c r="B482" s="75"/>
      <c r="C482" s="75"/>
      <c r="D482" s="75"/>
      <c r="E482" s="66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  <c r="AA482" s="66"/>
      <c r="AB482" s="66"/>
      <c r="AC482" s="66"/>
      <c r="AD482" s="66"/>
    </row>
    <row r="483">
      <c r="A483" s="131"/>
      <c r="B483" s="75"/>
      <c r="C483" s="75"/>
      <c r="D483" s="75"/>
      <c r="E483" s="66"/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  <c r="AA483" s="66"/>
      <c r="AB483" s="66"/>
      <c r="AC483" s="66"/>
      <c r="AD483" s="66"/>
    </row>
    <row r="484">
      <c r="A484" s="131"/>
      <c r="B484" s="75"/>
      <c r="C484" s="75"/>
      <c r="D484" s="75"/>
      <c r="E484" s="66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  <c r="AA484" s="66"/>
      <c r="AB484" s="66"/>
      <c r="AC484" s="66"/>
      <c r="AD484" s="66"/>
    </row>
    <row r="485">
      <c r="A485" s="131"/>
      <c r="B485" s="75"/>
      <c r="C485" s="75"/>
      <c r="D485" s="75"/>
      <c r="E485" s="66"/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  <c r="AA485" s="66"/>
      <c r="AB485" s="66"/>
      <c r="AC485" s="66"/>
      <c r="AD485" s="66"/>
    </row>
    <row r="486">
      <c r="A486" s="131"/>
      <c r="B486" s="75"/>
      <c r="C486" s="75"/>
      <c r="D486" s="75"/>
      <c r="E486" s="66"/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  <c r="AA486" s="66"/>
      <c r="AB486" s="66"/>
      <c r="AC486" s="66"/>
      <c r="AD486" s="66"/>
    </row>
    <row r="487">
      <c r="A487" s="131"/>
      <c r="B487" s="75"/>
      <c r="C487" s="75"/>
      <c r="D487" s="75"/>
      <c r="E487" s="66"/>
      <c r="F487" s="66"/>
      <c r="G487" s="66"/>
      <c r="H487" s="66"/>
      <c r="I487" s="66"/>
      <c r="J487" s="66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  <c r="AA487" s="66"/>
      <c r="AB487" s="66"/>
      <c r="AC487" s="66"/>
      <c r="AD487" s="66"/>
    </row>
    <row r="488">
      <c r="A488" s="131"/>
      <c r="B488" s="75"/>
      <c r="C488" s="75"/>
      <c r="D488" s="75"/>
      <c r="E488" s="66"/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  <c r="AA488" s="66"/>
      <c r="AB488" s="66"/>
      <c r="AC488" s="66"/>
      <c r="AD488" s="66"/>
    </row>
    <row r="489">
      <c r="A489" s="131"/>
      <c r="B489" s="75"/>
      <c r="C489" s="75"/>
      <c r="D489" s="75"/>
      <c r="E489" s="66"/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  <c r="AA489" s="66"/>
      <c r="AB489" s="66"/>
      <c r="AC489" s="66"/>
      <c r="AD489" s="66"/>
    </row>
    <row r="490">
      <c r="A490" s="131"/>
      <c r="B490" s="75"/>
      <c r="C490" s="75"/>
      <c r="D490" s="75"/>
      <c r="E490" s="66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  <c r="AA490" s="66"/>
      <c r="AB490" s="66"/>
      <c r="AC490" s="66"/>
      <c r="AD490" s="66"/>
    </row>
    <row r="491">
      <c r="A491" s="131"/>
      <c r="B491" s="75"/>
      <c r="C491" s="75"/>
      <c r="D491" s="75"/>
      <c r="E491" s="66"/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  <c r="AA491" s="66"/>
      <c r="AB491" s="66"/>
      <c r="AC491" s="66"/>
      <c r="AD491" s="66"/>
    </row>
    <row r="492">
      <c r="A492" s="131"/>
      <c r="B492" s="75"/>
      <c r="C492" s="75"/>
      <c r="D492" s="75"/>
      <c r="E492" s="66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  <c r="AA492" s="66"/>
      <c r="AB492" s="66"/>
      <c r="AC492" s="66"/>
      <c r="AD492" s="66"/>
    </row>
    <row r="493">
      <c r="A493" s="131"/>
      <c r="B493" s="75"/>
      <c r="C493" s="75"/>
      <c r="D493" s="75"/>
      <c r="E493" s="66"/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  <c r="AA493" s="66"/>
      <c r="AB493" s="66"/>
      <c r="AC493" s="66"/>
      <c r="AD493" s="66"/>
    </row>
    <row r="494">
      <c r="A494" s="131"/>
      <c r="B494" s="75"/>
      <c r="C494" s="75"/>
      <c r="D494" s="75"/>
      <c r="E494" s="66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  <c r="AA494" s="66"/>
      <c r="AB494" s="66"/>
      <c r="AC494" s="66"/>
      <c r="AD494" s="66"/>
    </row>
    <row r="495">
      <c r="A495" s="131"/>
      <c r="B495" s="75"/>
      <c r="C495" s="75"/>
      <c r="D495" s="75"/>
      <c r="E495" s="66"/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  <c r="AA495" s="66"/>
      <c r="AB495" s="66"/>
      <c r="AC495" s="66"/>
      <c r="AD495" s="66"/>
    </row>
    <row r="496">
      <c r="A496" s="131"/>
      <c r="B496" s="75"/>
      <c r="C496" s="75"/>
      <c r="D496" s="75"/>
      <c r="E496" s="66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  <c r="AA496" s="66"/>
      <c r="AB496" s="66"/>
      <c r="AC496" s="66"/>
      <c r="AD496" s="66"/>
    </row>
    <row r="497">
      <c r="A497" s="131"/>
      <c r="B497" s="75"/>
      <c r="C497" s="75"/>
      <c r="D497" s="75"/>
      <c r="E497" s="66"/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  <c r="AA497" s="66"/>
      <c r="AB497" s="66"/>
      <c r="AC497" s="66"/>
      <c r="AD497" s="66"/>
    </row>
    <row r="498">
      <c r="A498" s="131"/>
      <c r="B498" s="75"/>
      <c r="C498" s="75"/>
      <c r="D498" s="75"/>
      <c r="E498" s="66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  <c r="AA498" s="66"/>
      <c r="AB498" s="66"/>
      <c r="AC498" s="66"/>
      <c r="AD498" s="66"/>
    </row>
    <row r="499">
      <c r="A499" s="131"/>
      <c r="B499" s="75"/>
      <c r="C499" s="75"/>
      <c r="D499" s="75"/>
      <c r="E499" s="66"/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  <c r="AA499" s="66"/>
      <c r="AB499" s="66"/>
      <c r="AC499" s="66"/>
      <c r="AD499" s="66"/>
    </row>
    <row r="500">
      <c r="A500" s="131"/>
      <c r="B500" s="75"/>
      <c r="C500" s="75"/>
      <c r="D500" s="75"/>
      <c r="E500" s="66"/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  <c r="AA500" s="66"/>
      <c r="AB500" s="66"/>
      <c r="AC500" s="66"/>
      <c r="AD500" s="66"/>
    </row>
    <row r="501">
      <c r="A501" s="131"/>
      <c r="B501" s="75"/>
      <c r="C501" s="75"/>
      <c r="D501" s="75"/>
      <c r="E501" s="66"/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  <c r="AA501" s="66"/>
      <c r="AB501" s="66"/>
      <c r="AC501" s="66"/>
      <c r="AD501" s="66"/>
    </row>
    <row r="502">
      <c r="A502" s="131"/>
      <c r="B502" s="75"/>
      <c r="C502" s="75"/>
      <c r="D502" s="75"/>
      <c r="E502" s="66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  <c r="AA502" s="66"/>
      <c r="AB502" s="66"/>
      <c r="AC502" s="66"/>
      <c r="AD502" s="66"/>
    </row>
    <row r="503">
      <c r="A503" s="131"/>
      <c r="B503" s="75"/>
      <c r="C503" s="75"/>
      <c r="D503" s="75"/>
      <c r="E503" s="66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  <c r="AA503" s="66"/>
      <c r="AB503" s="66"/>
      <c r="AC503" s="66"/>
      <c r="AD503" s="66"/>
    </row>
    <row r="504">
      <c r="A504" s="131"/>
      <c r="B504" s="75"/>
      <c r="C504" s="75"/>
      <c r="D504" s="75"/>
      <c r="E504" s="66"/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66"/>
      <c r="AD504" s="66"/>
    </row>
    <row r="505">
      <c r="A505" s="131"/>
      <c r="B505" s="75"/>
      <c r="C505" s="75"/>
      <c r="D505" s="75"/>
      <c r="E505" s="66"/>
      <c r="F505" s="66"/>
      <c r="G505" s="66"/>
      <c r="H505" s="66"/>
      <c r="I505" s="66"/>
      <c r="J505" s="66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  <c r="AA505" s="66"/>
      <c r="AB505" s="66"/>
      <c r="AC505" s="66"/>
      <c r="AD505" s="66"/>
    </row>
    <row r="506">
      <c r="A506" s="131"/>
      <c r="B506" s="75"/>
      <c r="C506" s="75"/>
      <c r="D506" s="75"/>
      <c r="E506" s="66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66"/>
      <c r="AD506" s="66"/>
    </row>
    <row r="507">
      <c r="A507" s="131"/>
      <c r="B507" s="75"/>
      <c r="C507" s="75"/>
      <c r="D507" s="75"/>
      <c r="E507" s="66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  <c r="AA507" s="66"/>
      <c r="AB507" s="66"/>
      <c r="AC507" s="66"/>
      <c r="AD507" s="66"/>
    </row>
    <row r="508">
      <c r="A508" s="131"/>
      <c r="B508" s="75"/>
      <c r="C508" s="75"/>
      <c r="D508" s="75"/>
      <c r="E508" s="66"/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  <c r="AA508" s="66"/>
      <c r="AB508" s="66"/>
      <c r="AC508" s="66"/>
      <c r="AD508" s="66"/>
    </row>
    <row r="509">
      <c r="A509" s="131"/>
      <c r="B509" s="75"/>
      <c r="C509" s="75"/>
      <c r="D509" s="75"/>
      <c r="E509" s="66"/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  <c r="AA509" s="66"/>
      <c r="AB509" s="66"/>
      <c r="AC509" s="66"/>
      <c r="AD509" s="66"/>
    </row>
    <row r="510">
      <c r="A510" s="131"/>
      <c r="B510" s="75"/>
      <c r="C510" s="75"/>
      <c r="D510" s="75"/>
      <c r="E510" s="66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  <c r="AA510" s="66"/>
      <c r="AB510" s="66"/>
      <c r="AC510" s="66"/>
      <c r="AD510" s="66"/>
    </row>
    <row r="511">
      <c r="A511" s="131"/>
      <c r="B511" s="75"/>
      <c r="C511" s="75"/>
      <c r="D511" s="75"/>
      <c r="E511" s="66"/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  <c r="AA511" s="66"/>
      <c r="AB511" s="66"/>
      <c r="AC511" s="66"/>
      <c r="AD511" s="66"/>
    </row>
    <row r="512">
      <c r="A512" s="131"/>
      <c r="B512" s="75"/>
      <c r="C512" s="75"/>
      <c r="D512" s="75"/>
      <c r="E512" s="66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  <c r="AA512" s="66"/>
      <c r="AB512" s="66"/>
      <c r="AC512" s="66"/>
      <c r="AD512" s="66"/>
    </row>
    <row r="513">
      <c r="A513" s="131"/>
      <c r="B513" s="75"/>
      <c r="C513" s="75"/>
      <c r="D513" s="75"/>
      <c r="E513" s="66"/>
      <c r="F513" s="66"/>
      <c r="G513" s="66"/>
      <c r="H513" s="66"/>
      <c r="I513" s="66"/>
      <c r="J513" s="66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  <c r="AA513" s="66"/>
      <c r="AB513" s="66"/>
      <c r="AC513" s="66"/>
      <c r="AD513" s="66"/>
    </row>
    <row r="514">
      <c r="A514" s="131"/>
      <c r="B514" s="75"/>
      <c r="C514" s="75"/>
      <c r="D514" s="75"/>
      <c r="E514" s="66"/>
      <c r="F514" s="66"/>
      <c r="G514" s="66"/>
      <c r="H514" s="66"/>
      <c r="I514" s="66"/>
      <c r="J514" s="66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  <c r="AA514" s="66"/>
      <c r="AB514" s="66"/>
      <c r="AC514" s="66"/>
      <c r="AD514" s="66"/>
    </row>
    <row r="515">
      <c r="A515" s="131"/>
      <c r="B515" s="75"/>
      <c r="C515" s="75"/>
      <c r="D515" s="75"/>
      <c r="E515" s="66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  <c r="AA515" s="66"/>
      <c r="AB515" s="66"/>
      <c r="AC515" s="66"/>
      <c r="AD515" s="66"/>
    </row>
    <row r="516">
      <c r="A516" s="131"/>
      <c r="B516" s="75"/>
      <c r="C516" s="75"/>
      <c r="D516" s="75"/>
      <c r="E516" s="66"/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  <c r="AA516" s="66"/>
      <c r="AB516" s="66"/>
      <c r="AC516" s="66"/>
      <c r="AD516" s="66"/>
    </row>
    <row r="517">
      <c r="A517" s="131"/>
      <c r="B517" s="75"/>
      <c r="C517" s="75"/>
      <c r="D517" s="75"/>
      <c r="E517" s="66"/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  <c r="AA517" s="66"/>
      <c r="AB517" s="66"/>
      <c r="AC517" s="66"/>
      <c r="AD517" s="66"/>
    </row>
    <row r="518">
      <c r="A518" s="131"/>
      <c r="B518" s="75"/>
      <c r="C518" s="75"/>
      <c r="D518" s="75"/>
      <c r="E518" s="66"/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  <c r="AA518" s="66"/>
      <c r="AB518" s="66"/>
      <c r="AC518" s="66"/>
      <c r="AD518" s="66"/>
    </row>
    <row r="519">
      <c r="A519" s="131"/>
      <c r="B519" s="75"/>
      <c r="C519" s="75"/>
      <c r="D519" s="75"/>
      <c r="E519" s="66"/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  <c r="AA519" s="66"/>
      <c r="AB519" s="66"/>
      <c r="AC519" s="66"/>
      <c r="AD519" s="66"/>
    </row>
    <row r="520">
      <c r="A520" s="131"/>
      <c r="B520" s="75"/>
      <c r="C520" s="75"/>
      <c r="D520" s="75"/>
      <c r="E520" s="66"/>
      <c r="F520" s="66"/>
      <c r="G520" s="66"/>
      <c r="H520" s="66"/>
      <c r="I520" s="66"/>
      <c r="J520" s="66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  <c r="AA520" s="66"/>
      <c r="AB520" s="66"/>
      <c r="AC520" s="66"/>
      <c r="AD520" s="66"/>
    </row>
    <row r="521">
      <c r="A521" s="131"/>
      <c r="B521" s="75"/>
      <c r="C521" s="75"/>
      <c r="D521" s="75"/>
      <c r="E521" s="66"/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  <c r="AA521" s="66"/>
      <c r="AB521" s="66"/>
      <c r="AC521" s="66"/>
      <c r="AD521" s="66"/>
    </row>
    <row r="522">
      <c r="A522" s="131"/>
      <c r="B522" s="75"/>
      <c r="C522" s="75"/>
      <c r="D522" s="75"/>
      <c r="E522" s="66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  <c r="AA522" s="66"/>
      <c r="AB522" s="66"/>
      <c r="AC522" s="66"/>
      <c r="AD522" s="66"/>
    </row>
    <row r="523">
      <c r="A523" s="131"/>
      <c r="B523" s="75"/>
      <c r="C523" s="75"/>
      <c r="D523" s="75"/>
      <c r="E523" s="66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  <c r="AA523" s="66"/>
      <c r="AB523" s="66"/>
      <c r="AC523" s="66"/>
      <c r="AD523" s="66"/>
    </row>
    <row r="524">
      <c r="A524" s="131"/>
      <c r="B524" s="75"/>
      <c r="C524" s="75"/>
      <c r="D524" s="75"/>
      <c r="E524" s="66"/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  <c r="AA524" s="66"/>
      <c r="AB524" s="66"/>
      <c r="AC524" s="66"/>
      <c r="AD524" s="66"/>
    </row>
    <row r="525">
      <c r="A525" s="131"/>
      <c r="B525" s="75"/>
      <c r="C525" s="75"/>
      <c r="D525" s="75"/>
      <c r="E525" s="66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  <c r="AA525" s="66"/>
      <c r="AB525" s="66"/>
      <c r="AC525" s="66"/>
      <c r="AD525" s="66"/>
    </row>
    <row r="526">
      <c r="A526" s="131"/>
      <c r="B526" s="75"/>
      <c r="C526" s="75"/>
      <c r="D526" s="75"/>
      <c r="E526" s="66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  <c r="AA526" s="66"/>
      <c r="AB526" s="66"/>
      <c r="AC526" s="66"/>
      <c r="AD526" s="66"/>
    </row>
    <row r="527">
      <c r="A527" s="131"/>
      <c r="B527" s="75"/>
      <c r="C527" s="75"/>
      <c r="D527" s="75"/>
      <c r="E527" s="66"/>
      <c r="F527" s="66"/>
      <c r="G527" s="66"/>
      <c r="H527" s="66"/>
      <c r="I527" s="66"/>
      <c r="J527" s="66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  <c r="AA527" s="66"/>
      <c r="AB527" s="66"/>
      <c r="AC527" s="66"/>
      <c r="AD527" s="66"/>
    </row>
    <row r="528">
      <c r="A528" s="131"/>
      <c r="B528" s="75"/>
      <c r="C528" s="75"/>
      <c r="D528" s="75"/>
      <c r="E528" s="66"/>
      <c r="F528" s="66"/>
      <c r="G528" s="66"/>
      <c r="H528" s="66"/>
      <c r="I528" s="66"/>
      <c r="J528" s="66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  <c r="AA528" s="66"/>
      <c r="AB528" s="66"/>
      <c r="AC528" s="66"/>
      <c r="AD528" s="66"/>
    </row>
    <row r="529">
      <c r="A529" s="131"/>
      <c r="B529" s="75"/>
      <c r="C529" s="75"/>
      <c r="D529" s="75"/>
      <c r="E529" s="66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  <c r="AA529" s="66"/>
      <c r="AB529" s="66"/>
      <c r="AC529" s="66"/>
      <c r="AD529" s="66"/>
    </row>
    <row r="530">
      <c r="A530" s="131"/>
      <c r="B530" s="75"/>
      <c r="C530" s="75"/>
      <c r="D530" s="75"/>
      <c r="E530" s="66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  <c r="AA530" s="66"/>
      <c r="AB530" s="66"/>
      <c r="AC530" s="66"/>
      <c r="AD530" s="66"/>
    </row>
    <row r="531">
      <c r="A531" s="131"/>
      <c r="B531" s="75"/>
      <c r="C531" s="75"/>
      <c r="D531" s="75"/>
      <c r="E531" s="66"/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  <c r="AA531" s="66"/>
      <c r="AB531" s="66"/>
      <c r="AC531" s="66"/>
      <c r="AD531" s="66"/>
    </row>
    <row r="532">
      <c r="A532" s="131"/>
      <c r="B532" s="75"/>
      <c r="C532" s="75"/>
      <c r="D532" s="75"/>
      <c r="E532" s="66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  <c r="AA532" s="66"/>
      <c r="AB532" s="66"/>
      <c r="AC532" s="66"/>
      <c r="AD532" s="66"/>
    </row>
    <row r="533">
      <c r="A533" s="131"/>
      <c r="B533" s="75"/>
      <c r="C533" s="75"/>
      <c r="D533" s="75"/>
      <c r="E533" s="66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  <c r="AA533" s="66"/>
      <c r="AB533" s="66"/>
      <c r="AC533" s="66"/>
      <c r="AD533" s="66"/>
    </row>
    <row r="534">
      <c r="A534" s="131"/>
      <c r="B534" s="75"/>
      <c r="C534" s="75"/>
      <c r="D534" s="75"/>
      <c r="E534" s="66"/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  <c r="AA534" s="66"/>
      <c r="AB534" s="66"/>
      <c r="AC534" s="66"/>
      <c r="AD534" s="66"/>
    </row>
    <row r="535">
      <c r="A535" s="131"/>
      <c r="B535" s="75"/>
      <c r="C535" s="75"/>
      <c r="D535" s="75"/>
      <c r="E535" s="66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  <c r="AA535" s="66"/>
      <c r="AB535" s="66"/>
      <c r="AC535" s="66"/>
      <c r="AD535" s="66"/>
    </row>
    <row r="536">
      <c r="A536" s="131"/>
      <c r="B536" s="75"/>
      <c r="C536" s="75"/>
      <c r="D536" s="75"/>
      <c r="E536" s="66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  <c r="AA536" s="66"/>
      <c r="AB536" s="66"/>
      <c r="AC536" s="66"/>
      <c r="AD536" s="66"/>
    </row>
    <row r="537">
      <c r="A537" s="131"/>
      <c r="B537" s="75"/>
      <c r="C537" s="75"/>
      <c r="D537" s="75"/>
      <c r="E537" s="66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  <c r="AA537" s="66"/>
      <c r="AB537" s="66"/>
      <c r="AC537" s="66"/>
      <c r="AD537" s="66"/>
    </row>
    <row r="538">
      <c r="A538" s="131"/>
      <c r="B538" s="75"/>
      <c r="C538" s="75"/>
      <c r="D538" s="75"/>
      <c r="E538" s="66"/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  <c r="AA538" s="66"/>
      <c r="AB538" s="66"/>
      <c r="AC538" s="66"/>
      <c r="AD538" s="66"/>
    </row>
    <row r="539">
      <c r="A539" s="131"/>
      <c r="B539" s="75"/>
      <c r="C539" s="75"/>
      <c r="D539" s="75"/>
      <c r="E539" s="66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  <c r="AA539" s="66"/>
      <c r="AB539" s="66"/>
      <c r="AC539" s="66"/>
      <c r="AD539" s="66"/>
    </row>
    <row r="540">
      <c r="A540" s="131"/>
      <c r="B540" s="75"/>
      <c r="C540" s="75"/>
      <c r="D540" s="75"/>
      <c r="E540" s="66"/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  <c r="AA540" s="66"/>
      <c r="AB540" s="66"/>
      <c r="AC540" s="66"/>
      <c r="AD540" s="66"/>
    </row>
    <row r="541">
      <c r="A541" s="131"/>
      <c r="B541" s="75"/>
      <c r="C541" s="75"/>
      <c r="D541" s="75"/>
      <c r="E541" s="66"/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  <c r="AA541" s="66"/>
      <c r="AB541" s="66"/>
      <c r="AC541" s="66"/>
      <c r="AD541" s="66"/>
    </row>
    <row r="542">
      <c r="A542" s="131"/>
      <c r="B542" s="75"/>
      <c r="C542" s="75"/>
      <c r="D542" s="75"/>
      <c r="E542" s="66"/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  <c r="AA542" s="66"/>
      <c r="AB542" s="66"/>
      <c r="AC542" s="66"/>
      <c r="AD542" s="66"/>
    </row>
    <row r="543">
      <c r="A543" s="131"/>
      <c r="B543" s="75"/>
      <c r="C543" s="75"/>
      <c r="D543" s="75"/>
      <c r="E543" s="66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  <c r="AA543" s="66"/>
      <c r="AB543" s="66"/>
      <c r="AC543" s="66"/>
      <c r="AD543" s="66"/>
    </row>
    <row r="544">
      <c r="A544" s="131"/>
      <c r="B544" s="75"/>
      <c r="C544" s="75"/>
      <c r="D544" s="75"/>
      <c r="E544" s="66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  <c r="AA544" s="66"/>
      <c r="AB544" s="66"/>
      <c r="AC544" s="66"/>
      <c r="AD544" s="66"/>
    </row>
    <row r="545">
      <c r="A545" s="131"/>
      <c r="B545" s="75"/>
      <c r="C545" s="75"/>
      <c r="D545" s="75"/>
      <c r="E545" s="66"/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  <c r="AA545" s="66"/>
      <c r="AB545" s="66"/>
      <c r="AC545" s="66"/>
      <c r="AD545" s="66"/>
    </row>
    <row r="546">
      <c r="A546" s="131"/>
      <c r="B546" s="75"/>
      <c r="C546" s="75"/>
      <c r="D546" s="75"/>
      <c r="E546" s="66"/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  <c r="AA546" s="66"/>
      <c r="AB546" s="66"/>
      <c r="AC546" s="66"/>
      <c r="AD546" s="66"/>
    </row>
    <row r="547">
      <c r="A547" s="131"/>
      <c r="B547" s="75"/>
      <c r="C547" s="75"/>
      <c r="D547" s="75"/>
      <c r="E547" s="66"/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  <c r="AA547" s="66"/>
      <c r="AB547" s="66"/>
      <c r="AC547" s="66"/>
      <c r="AD547" s="66"/>
    </row>
    <row r="548">
      <c r="A548" s="131"/>
      <c r="B548" s="75"/>
      <c r="C548" s="75"/>
      <c r="D548" s="75"/>
      <c r="E548" s="66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  <c r="AA548" s="66"/>
      <c r="AB548" s="66"/>
      <c r="AC548" s="66"/>
      <c r="AD548" s="66"/>
    </row>
    <row r="549">
      <c r="A549" s="131"/>
      <c r="B549" s="75"/>
      <c r="C549" s="75"/>
      <c r="D549" s="75"/>
      <c r="E549" s="66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  <c r="AA549" s="66"/>
      <c r="AB549" s="66"/>
      <c r="AC549" s="66"/>
      <c r="AD549" s="66"/>
    </row>
    <row r="550">
      <c r="A550" s="131"/>
      <c r="B550" s="75"/>
      <c r="C550" s="75"/>
      <c r="D550" s="75"/>
      <c r="E550" s="66"/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  <c r="AA550" s="66"/>
      <c r="AB550" s="66"/>
      <c r="AC550" s="66"/>
      <c r="AD550" s="66"/>
    </row>
    <row r="551">
      <c r="A551" s="131"/>
      <c r="B551" s="75"/>
      <c r="C551" s="75"/>
      <c r="D551" s="75"/>
      <c r="E551" s="66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  <c r="AA551" s="66"/>
      <c r="AB551" s="66"/>
      <c r="AC551" s="66"/>
      <c r="AD551" s="66"/>
    </row>
    <row r="552">
      <c r="A552" s="131"/>
      <c r="B552" s="75"/>
      <c r="C552" s="75"/>
      <c r="D552" s="75"/>
      <c r="E552" s="66"/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  <c r="AA552" s="66"/>
      <c r="AB552" s="66"/>
      <c r="AC552" s="66"/>
      <c r="AD552" s="66"/>
    </row>
    <row r="553">
      <c r="A553" s="131"/>
      <c r="B553" s="75"/>
      <c r="C553" s="75"/>
      <c r="D553" s="75"/>
      <c r="E553" s="66"/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  <c r="AA553" s="66"/>
      <c r="AB553" s="66"/>
      <c r="AC553" s="66"/>
      <c r="AD553" s="66"/>
    </row>
    <row r="554">
      <c r="A554" s="131"/>
      <c r="B554" s="75"/>
      <c r="C554" s="75"/>
      <c r="D554" s="75"/>
      <c r="E554" s="66"/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  <c r="AA554" s="66"/>
      <c r="AB554" s="66"/>
      <c r="AC554" s="66"/>
      <c r="AD554" s="66"/>
    </row>
    <row r="555">
      <c r="A555" s="131"/>
      <c r="B555" s="75"/>
      <c r="C555" s="75"/>
      <c r="D555" s="75"/>
      <c r="E555" s="66"/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  <c r="AA555" s="66"/>
      <c r="AB555" s="66"/>
      <c r="AC555" s="66"/>
      <c r="AD555" s="66"/>
    </row>
    <row r="556">
      <c r="A556" s="131"/>
      <c r="B556" s="75"/>
      <c r="C556" s="75"/>
      <c r="D556" s="75"/>
      <c r="E556" s="66"/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  <c r="AA556" s="66"/>
      <c r="AB556" s="66"/>
      <c r="AC556" s="66"/>
      <c r="AD556" s="66"/>
    </row>
    <row r="557">
      <c r="A557" s="131"/>
      <c r="B557" s="75"/>
      <c r="C557" s="75"/>
      <c r="D557" s="75"/>
      <c r="E557" s="66"/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  <c r="AA557" s="66"/>
      <c r="AB557" s="66"/>
      <c r="AC557" s="66"/>
      <c r="AD557" s="66"/>
    </row>
    <row r="558">
      <c r="A558" s="131"/>
      <c r="B558" s="75"/>
      <c r="C558" s="75"/>
      <c r="D558" s="75"/>
      <c r="E558" s="66"/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  <c r="AA558" s="66"/>
      <c r="AB558" s="66"/>
      <c r="AC558" s="66"/>
      <c r="AD558" s="66"/>
    </row>
    <row r="559">
      <c r="A559" s="131"/>
      <c r="B559" s="75"/>
      <c r="C559" s="75"/>
      <c r="D559" s="75"/>
      <c r="E559" s="66"/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  <c r="AA559" s="66"/>
      <c r="AB559" s="66"/>
      <c r="AC559" s="66"/>
      <c r="AD559" s="66"/>
    </row>
    <row r="560">
      <c r="A560" s="131"/>
      <c r="B560" s="75"/>
      <c r="C560" s="75"/>
      <c r="D560" s="75"/>
      <c r="E560" s="66"/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  <c r="AA560" s="66"/>
      <c r="AB560" s="66"/>
      <c r="AC560" s="66"/>
      <c r="AD560" s="66"/>
    </row>
    <row r="561">
      <c r="A561" s="131"/>
      <c r="B561" s="75"/>
      <c r="C561" s="75"/>
      <c r="D561" s="75"/>
      <c r="E561" s="66"/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  <c r="AA561" s="66"/>
      <c r="AB561" s="66"/>
      <c r="AC561" s="66"/>
      <c r="AD561" s="66"/>
    </row>
    <row r="562">
      <c r="A562" s="131"/>
      <c r="B562" s="75"/>
      <c r="C562" s="75"/>
      <c r="D562" s="75"/>
      <c r="E562" s="66"/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  <c r="AA562" s="66"/>
      <c r="AB562" s="66"/>
      <c r="AC562" s="66"/>
      <c r="AD562" s="66"/>
    </row>
    <row r="563">
      <c r="A563" s="131"/>
      <c r="B563" s="75"/>
      <c r="C563" s="75"/>
      <c r="D563" s="75"/>
      <c r="E563" s="66"/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  <c r="AA563" s="66"/>
      <c r="AB563" s="66"/>
      <c r="AC563" s="66"/>
      <c r="AD563" s="66"/>
    </row>
    <row r="564">
      <c r="A564" s="131"/>
      <c r="B564" s="75"/>
      <c r="C564" s="75"/>
      <c r="D564" s="75"/>
      <c r="E564" s="66"/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  <c r="AA564" s="66"/>
      <c r="AB564" s="66"/>
      <c r="AC564" s="66"/>
      <c r="AD564" s="66"/>
    </row>
    <row r="565">
      <c r="A565" s="131"/>
      <c r="B565" s="75"/>
      <c r="C565" s="75"/>
      <c r="D565" s="75"/>
      <c r="E565" s="66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  <c r="AA565" s="66"/>
      <c r="AB565" s="66"/>
      <c r="AC565" s="66"/>
      <c r="AD565" s="66"/>
    </row>
    <row r="566">
      <c r="A566" s="131"/>
      <c r="B566" s="75"/>
      <c r="C566" s="75"/>
      <c r="D566" s="75"/>
      <c r="E566" s="66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  <c r="AA566" s="66"/>
      <c r="AB566" s="66"/>
      <c r="AC566" s="66"/>
      <c r="AD566" s="66"/>
    </row>
    <row r="567">
      <c r="A567" s="131"/>
      <c r="B567" s="75"/>
      <c r="C567" s="75"/>
      <c r="D567" s="75"/>
      <c r="E567" s="66"/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  <c r="AA567" s="66"/>
      <c r="AB567" s="66"/>
      <c r="AC567" s="66"/>
      <c r="AD567" s="66"/>
    </row>
    <row r="568">
      <c r="A568" s="131"/>
      <c r="B568" s="75"/>
      <c r="C568" s="75"/>
      <c r="D568" s="75"/>
      <c r="E568" s="66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  <c r="AA568" s="66"/>
      <c r="AB568" s="66"/>
      <c r="AC568" s="66"/>
      <c r="AD568" s="66"/>
    </row>
    <row r="569">
      <c r="A569" s="131"/>
      <c r="B569" s="75"/>
      <c r="C569" s="75"/>
      <c r="D569" s="75"/>
      <c r="E569" s="66"/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  <c r="AA569" s="66"/>
      <c r="AB569" s="66"/>
      <c r="AC569" s="66"/>
      <c r="AD569" s="66"/>
    </row>
    <row r="570">
      <c r="A570" s="131"/>
      <c r="B570" s="75"/>
      <c r="C570" s="75"/>
      <c r="D570" s="75"/>
      <c r="E570" s="66"/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  <c r="AA570" s="66"/>
      <c r="AB570" s="66"/>
      <c r="AC570" s="66"/>
      <c r="AD570" s="66"/>
    </row>
    <row r="571">
      <c r="A571" s="131"/>
      <c r="B571" s="75"/>
      <c r="C571" s="75"/>
      <c r="D571" s="75"/>
      <c r="E571" s="66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  <c r="AA571" s="66"/>
      <c r="AB571" s="66"/>
      <c r="AC571" s="66"/>
      <c r="AD571" s="66"/>
    </row>
    <row r="572">
      <c r="A572" s="131"/>
      <c r="B572" s="75"/>
      <c r="C572" s="75"/>
      <c r="D572" s="75"/>
      <c r="E572" s="66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  <c r="AA572" s="66"/>
      <c r="AB572" s="66"/>
      <c r="AC572" s="66"/>
      <c r="AD572" s="66"/>
    </row>
    <row r="573">
      <c r="A573" s="131"/>
      <c r="B573" s="75"/>
      <c r="C573" s="75"/>
      <c r="D573" s="75"/>
      <c r="E573" s="66"/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  <c r="AA573" s="66"/>
      <c r="AB573" s="66"/>
      <c r="AC573" s="66"/>
      <c r="AD573" s="66"/>
    </row>
    <row r="574">
      <c r="A574" s="131"/>
      <c r="B574" s="75"/>
      <c r="C574" s="75"/>
      <c r="D574" s="75"/>
      <c r="E574" s="66"/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  <c r="AA574" s="66"/>
      <c r="AB574" s="66"/>
      <c r="AC574" s="66"/>
      <c r="AD574" s="66"/>
    </row>
    <row r="575">
      <c r="A575" s="131"/>
      <c r="B575" s="75"/>
      <c r="C575" s="75"/>
      <c r="D575" s="75"/>
      <c r="E575" s="66"/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  <c r="AA575" s="66"/>
      <c r="AB575" s="66"/>
      <c r="AC575" s="66"/>
      <c r="AD575" s="66"/>
    </row>
    <row r="576">
      <c r="A576" s="131"/>
      <c r="B576" s="75"/>
      <c r="C576" s="75"/>
      <c r="D576" s="75"/>
      <c r="E576" s="66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  <c r="AA576" s="66"/>
      <c r="AB576" s="66"/>
      <c r="AC576" s="66"/>
      <c r="AD576" s="66"/>
    </row>
    <row r="577">
      <c r="A577" s="131"/>
      <c r="B577" s="75"/>
      <c r="C577" s="75"/>
      <c r="D577" s="75"/>
      <c r="E577" s="66"/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  <c r="AA577" s="66"/>
      <c r="AB577" s="66"/>
      <c r="AC577" s="66"/>
      <c r="AD577" s="66"/>
    </row>
    <row r="578">
      <c r="A578" s="131"/>
      <c r="B578" s="75"/>
      <c r="C578" s="75"/>
      <c r="D578" s="75"/>
      <c r="E578" s="66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  <c r="AA578" s="66"/>
      <c r="AB578" s="66"/>
      <c r="AC578" s="66"/>
      <c r="AD578" s="66"/>
    </row>
    <row r="579">
      <c r="A579" s="131"/>
      <c r="B579" s="75"/>
      <c r="C579" s="75"/>
      <c r="D579" s="75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  <c r="AA579" s="66"/>
      <c r="AB579" s="66"/>
      <c r="AC579" s="66"/>
      <c r="AD579" s="66"/>
    </row>
    <row r="580">
      <c r="A580" s="131"/>
      <c r="B580" s="75"/>
      <c r="C580" s="75"/>
      <c r="D580" s="75"/>
      <c r="E580" s="66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  <c r="AA580" s="66"/>
      <c r="AB580" s="66"/>
      <c r="AC580" s="66"/>
      <c r="AD580" s="66"/>
    </row>
    <row r="581">
      <c r="A581" s="131"/>
      <c r="B581" s="75"/>
      <c r="C581" s="75"/>
      <c r="D581" s="75"/>
      <c r="E581" s="66"/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  <c r="AA581" s="66"/>
      <c r="AB581" s="66"/>
      <c r="AC581" s="66"/>
      <c r="AD581" s="66"/>
    </row>
    <row r="582">
      <c r="A582" s="131"/>
      <c r="B582" s="75"/>
      <c r="C582" s="75"/>
      <c r="D582" s="75"/>
      <c r="E582" s="66"/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  <c r="AA582" s="66"/>
      <c r="AB582" s="66"/>
      <c r="AC582" s="66"/>
      <c r="AD582" s="66"/>
    </row>
    <row r="583">
      <c r="A583" s="131"/>
      <c r="B583" s="75"/>
      <c r="C583" s="75"/>
      <c r="D583" s="75"/>
      <c r="E583" s="66"/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  <c r="AA583" s="66"/>
      <c r="AB583" s="66"/>
      <c r="AC583" s="66"/>
      <c r="AD583" s="66"/>
    </row>
    <row r="584">
      <c r="A584" s="131"/>
      <c r="B584" s="75"/>
      <c r="C584" s="75"/>
      <c r="D584" s="75"/>
      <c r="E584" s="66"/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  <c r="AA584" s="66"/>
      <c r="AB584" s="66"/>
      <c r="AC584" s="66"/>
      <c r="AD584" s="66"/>
    </row>
    <row r="585">
      <c r="A585" s="131"/>
      <c r="B585" s="75"/>
      <c r="C585" s="75"/>
      <c r="D585" s="75"/>
      <c r="E585" s="66"/>
      <c r="F585" s="66"/>
      <c r="G585" s="66"/>
      <c r="H585" s="66"/>
      <c r="I585" s="66"/>
      <c r="J585" s="66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  <c r="AA585" s="66"/>
      <c r="AB585" s="66"/>
      <c r="AC585" s="66"/>
      <c r="AD585" s="66"/>
    </row>
    <row r="586">
      <c r="A586" s="131"/>
      <c r="B586" s="75"/>
      <c r="C586" s="75"/>
      <c r="D586" s="75"/>
      <c r="E586" s="66"/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  <c r="AA586" s="66"/>
      <c r="AB586" s="66"/>
      <c r="AC586" s="66"/>
      <c r="AD586" s="66"/>
    </row>
    <row r="587">
      <c r="A587" s="131"/>
      <c r="B587" s="75"/>
      <c r="C587" s="75"/>
      <c r="D587" s="75"/>
      <c r="E587" s="66"/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  <c r="AA587" s="66"/>
      <c r="AB587" s="66"/>
      <c r="AC587" s="66"/>
      <c r="AD587" s="66"/>
    </row>
    <row r="588">
      <c r="A588" s="131"/>
      <c r="B588" s="75"/>
      <c r="C588" s="75"/>
      <c r="D588" s="75"/>
      <c r="E588" s="66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  <c r="AA588" s="66"/>
      <c r="AB588" s="66"/>
      <c r="AC588" s="66"/>
      <c r="AD588" s="66"/>
    </row>
    <row r="589">
      <c r="A589" s="131"/>
      <c r="B589" s="75"/>
      <c r="C589" s="75"/>
      <c r="D589" s="75"/>
      <c r="E589" s="66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  <c r="AA589" s="66"/>
      <c r="AB589" s="66"/>
      <c r="AC589" s="66"/>
      <c r="AD589" s="66"/>
    </row>
    <row r="590">
      <c r="A590" s="131"/>
      <c r="B590" s="75"/>
      <c r="C590" s="75"/>
      <c r="D590" s="75"/>
      <c r="E590" s="66"/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  <c r="AA590" s="66"/>
      <c r="AB590" s="66"/>
      <c r="AC590" s="66"/>
      <c r="AD590" s="66"/>
    </row>
    <row r="591">
      <c r="A591" s="131"/>
      <c r="B591" s="75"/>
      <c r="C591" s="75"/>
      <c r="D591" s="75"/>
      <c r="E591" s="66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  <c r="AA591" s="66"/>
      <c r="AB591" s="66"/>
      <c r="AC591" s="66"/>
      <c r="AD591" s="66"/>
    </row>
    <row r="592">
      <c r="A592" s="131"/>
      <c r="B592" s="75"/>
      <c r="C592" s="75"/>
      <c r="D592" s="75"/>
      <c r="E592" s="66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  <c r="AA592" s="66"/>
      <c r="AB592" s="66"/>
      <c r="AC592" s="66"/>
      <c r="AD592" s="66"/>
    </row>
    <row r="593">
      <c r="A593" s="131"/>
      <c r="B593" s="75"/>
      <c r="C593" s="75"/>
      <c r="D593" s="75"/>
      <c r="E593" s="66"/>
      <c r="F593" s="66"/>
      <c r="G593" s="66"/>
      <c r="H593" s="66"/>
      <c r="I593" s="66"/>
      <c r="J593" s="66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  <c r="AA593" s="66"/>
      <c r="AB593" s="66"/>
      <c r="AC593" s="66"/>
      <c r="AD593" s="66"/>
    </row>
    <row r="594">
      <c r="A594" s="131"/>
      <c r="B594" s="75"/>
      <c r="C594" s="75"/>
      <c r="D594" s="75"/>
      <c r="E594" s="66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  <c r="AA594" s="66"/>
      <c r="AB594" s="66"/>
      <c r="AC594" s="66"/>
      <c r="AD594" s="66"/>
    </row>
    <row r="595">
      <c r="A595" s="131"/>
      <c r="B595" s="75"/>
      <c r="C595" s="75"/>
      <c r="D595" s="75"/>
      <c r="E595" s="66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  <c r="AA595" s="66"/>
      <c r="AB595" s="66"/>
      <c r="AC595" s="66"/>
      <c r="AD595" s="66"/>
    </row>
    <row r="596">
      <c r="A596" s="131"/>
      <c r="B596" s="75"/>
      <c r="C596" s="75"/>
      <c r="D596" s="75"/>
      <c r="E596" s="66"/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  <c r="AA596" s="66"/>
      <c r="AB596" s="66"/>
      <c r="AC596" s="66"/>
      <c r="AD596" s="66"/>
    </row>
    <row r="597">
      <c r="A597" s="131"/>
      <c r="B597" s="75"/>
      <c r="C597" s="75"/>
      <c r="D597" s="75"/>
      <c r="E597" s="66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  <c r="AA597" s="66"/>
      <c r="AB597" s="66"/>
      <c r="AC597" s="66"/>
      <c r="AD597" s="66"/>
    </row>
    <row r="598">
      <c r="A598" s="131"/>
      <c r="B598" s="75"/>
      <c r="C598" s="75"/>
      <c r="D598" s="75"/>
      <c r="E598" s="66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  <c r="AA598" s="66"/>
      <c r="AB598" s="66"/>
      <c r="AC598" s="66"/>
      <c r="AD598" s="66"/>
    </row>
    <row r="599">
      <c r="A599" s="131"/>
      <c r="B599" s="75"/>
      <c r="C599" s="75"/>
      <c r="D599" s="75"/>
      <c r="E599" s="66"/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  <c r="AA599" s="66"/>
      <c r="AB599" s="66"/>
      <c r="AC599" s="66"/>
      <c r="AD599" s="66"/>
    </row>
    <row r="600">
      <c r="A600" s="131"/>
      <c r="B600" s="75"/>
      <c r="C600" s="75"/>
      <c r="D600" s="75"/>
      <c r="E600" s="66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  <c r="AA600" s="66"/>
      <c r="AB600" s="66"/>
      <c r="AC600" s="66"/>
      <c r="AD600" s="66"/>
    </row>
    <row r="601">
      <c r="A601" s="131"/>
      <c r="B601" s="75"/>
      <c r="C601" s="75"/>
      <c r="D601" s="75"/>
      <c r="E601" s="66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  <c r="AA601" s="66"/>
      <c r="AB601" s="66"/>
      <c r="AC601" s="66"/>
      <c r="AD601" s="66"/>
    </row>
    <row r="602">
      <c r="A602" s="131"/>
      <c r="B602" s="75"/>
      <c r="C602" s="75"/>
      <c r="D602" s="75"/>
      <c r="E602" s="66"/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  <c r="AA602" s="66"/>
      <c r="AB602" s="66"/>
      <c r="AC602" s="66"/>
      <c r="AD602" s="66"/>
    </row>
    <row r="603">
      <c r="A603" s="131"/>
      <c r="B603" s="75"/>
      <c r="C603" s="75"/>
      <c r="D603" s="75"/>
      <c r="E603" s="66"/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  <c r="AA603" s="66"/>
      <c r="AB603" s="66"/>
      <c r="AC603" s="66"/>
      <c r="AD603" s="66"/>
    </row>
    <row r="604">
      <c r="A604" s="131"/>
      <c r="B604" s="75"/>
      <c r="C604" s="75"/>
      <c r="D604" s="75"/>
      <c r="E604" s="66"/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  <c r="AA604" s="66"/>
      <c r="AB604" s="66"/>
      <c r="AC604" s="66"/>
      <c r="AD604" s="66"/>
    </row>
    <row r="605">
      <c r="A605" s="131"/>
      <c r="B605" s="75"/>
      <c r="C605" s="75"/>
      <c r="D605" s="75"/>
      <c r="E605" s="66"/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  <c r="AA605" s="66"/>
      <c r="AB605" s="66"/>
      <c r="AC605" s="66"/>
      <c r="AD605" s="66"/>
    </row>
    <row r="606">
      <c r="A606" s="131"/>
      <c r="B606" s="75"/>
      <c r="C606" s="75"/>
      <c r="D606" s="75"/>
      <c r="E606" s="66"/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  <c r="AA606" s="66"/>
      <c r="AB606" s="66"/>
      <c r="AC606" s="66"/>
      <c r="AD606" s="66"/>
    </row>
    <row r="607">
      <c r="A607" s="131"/>
      <c r="B607" s="75"/>
      <c r="C607" s="75"/>
      <c r="D607" s="75"/>
      <c r="E607" s="66"/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  <c r="AA607" s="66"/>
      <c r="AB607" s="66"/>
      <c r="AC607" s="66"/>
      <c r="AD607" s="66"/>
    </row>
    <row r="608">
      <c r="A608" s="131"/>
      <c r="B608" s="75"/>
      <c r="C608" s="75"/>
      <c r="D608" s="75"/>
      <c r="E608" s="66"/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  <c r="AA608" s="66"/>
      <c r="AB608" s="66"/>
      <c r="AC608" s="66"/>
      <c r="AD608" s="66"/>
    </row>
    <row r="609">
      <c r="A609" s="131"/>
      <c r="B609" s="75"/>
      <c r="C609" s="75"/>
      <c r="D609" s="75"/>
      <c r="E609" s="66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  <c r="AA609" s="66"/>
      <c r="AB609" s="66"/>
      <c r="AC609" s="66"/>
      <c r="AD609" s="66"/>
    </row>
    <row r="610">
      <c r="A610" s="131"/>
      <c r="B610" s="75"/>
      <c r="C610" s="75"/>
      <c r="D610" s="75"/>
      <c r="E610" s="66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  <c r="AA610" s="66"/>
      <c r="AB610" s="66"/>
      <c r="AC610" s="66"/>
      <c r="AD610" s="66"/>
    </row>
    <row r="611">
      <c r="A611" s="131"/>
      <c r="B611" s="75"/>
      <c r="C611" s="75"/>
      <c r="D611" s="75"/>
      <c r="E611" s="66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  <c r="AA611" s="66"/>
      <c r="AB611" s="66"/>
      <c r="AC611" s="66"/>
      <c r="AD611" s="66"/>
    </row>
    <row r="612">
      <c r="A612" s="131"/>
      <c r="B612" s="75"/>
      <c r="C612" s="75"/>
      <c r="D612" s="75"/>
      <c r="E612" s="66"/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  <c r="AA612" s="66"/>
      <c r="AB612" s="66"/>
      <c r="AC612" s="66"/>
      <c r="AD612" s="66"/>
    </row>
    <row r="613">
      <c r="A613" s="131"/>
      <c r="B613" s="75"/>
      <c r="C613" s="75"/>
      <c r="D613" s="75"/>
      <c r="E613" s="66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  <c r="AA613" s="66"/>
      <c r="AB613" s="66"/>
      <c r="AC613" s="66"/>
      <c r="AD613" s="66"/>
    </row>
    <row r="614">
      <c r="A614" s="131"/>
      <c r="B614" s="75"/>
      <c r="C614" s="75"/>
      <c r="D614" s="75"/>
      <c r="E614" s="66"/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  <c r="AA614" s="66"/>
      <c r="AB614" s="66"/>
      <c r="AC614" s="66"/>
      <c r="AD614" s="66"/>
    </row>
    <row r="615">
      <c r="A615" s="131"/>
      <c r="B615" s="75"/>
      <c r="C615" s="75"/>
      <c r="D615" s="75"/>
      <c r="E615" s="66"/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  <c r="AA615" s="66"/>
      <c r="AB615" s="66"/>
      <c r="AC615" s="66"/>
      <c r="AD615" s="66"/>
    </row>
    <row r="616">
      <c r="A616" s="131"/>
      <c r="B616" s="75"/>
      <c r="C616" s="75"/>
      <c r="D616" s="75"/>
      <c r="E616" s="66"/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  <c r="AA616" s="66"/>
      <c r="AB616" s="66"/>
      <c r="AC616" s="66"/>
      <c r="AD616" s="66"/>
    </row>
    <row r="617">
      <c r="A617" s="131"/>
      <c r="B617" s="75"/>
      <c r="C617" s="75"/>
      <c r="D617" s="75"/>
      <c r="E617" s="66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  <c r="AA617" s="66"/>
      <c r="AB617" s="66"/>
      <c r="AC617" s="66"/>
      <c r="AD617" s="66"/>
    </row>
    <row r="618">
      <c r="A618" s="131"/>
      <c r="B618" s="75"/>
      <c r="C618" s="75"/>
      <c r="D618" s="75"/>
      <c r="E618" s="66"/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  <c r="AA618" s="66"/>
      <c r="AB618" s="66"/>
      <c r="AC618" s="66"/>
      <c r="AD618" s="66"/>
    </row>
    <row r="619">
      <c r="A619" s="131"/>
      <c r="B619" s="75"/>
      <c r="C619" s="75"/>
      <c r="D619" s="75"/>
      <c r="E619" s="66"/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  <c r="AA619" s="66"/>
      <c r="AB619" s="66"/>
      <c r="AC619" s="66"/>
      <c r="AD619" s="66"/>
    </row>
    <row r="620">
      <c r="A620" s="131"/>
      <c r="B620" s="75"/>
      <c r="C620" s="75"/>
      <c r="D620" s="75"/>
      <c r="E620" s="66"/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  <c r="AA620" s="66"/>
      <c r="AB620" s="66"/>
      <c r="AC620" s="66"/>
      <c r="AD620" s="66"/>
    </row>
    <row r="621">
      <c r="A621" s="131"/>
      <c r="B621" s="75"/>
      <c r="C621" s="75"/>
      <c r="D621" s="75"/>
      <c r="E621" s="66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  <c r="AA621" s="66"/>
      <c r="AB621" s="66"/>
      <c r="AC621" s="66"/>
      <c r="AD621" s="66"/>
    </row>
    <row r="622">
      <c r="A622" s="131"/>
      <c r="B622" s="75"/>
      <c r="C622" s="75"/>
      <c r="D622" s="75"/>
      <c r="E622" s="66"/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  <c r="AA622" s="66"/>
      <c r="AB622" s="66"/>
      <c r="AC622" s="66"/>
      <c r="AD622" s="66"/>
    </row>
    <row r="623">
      <c r="A623" s="131"/>
      <c r="B623" s="75"/>
      <c r="C623" s="75"/>
      <c r="D623" s="75"/>
      <c r="E623" s="66"/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  <c r="AA623" s="66"/>
      <c r="AB623" s="66"/>
      <c r="AC623" s="66"/>
      <c r="AD623" s="66"/>
    </row>
    <row r="624">
      <c r="A624" s="131"/>
      <c r="B624" s="75"/>
      <c r="C624" s="75"/>
      <c r="D624" s="75"/>
      <c r="E624" s="66"/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  <c r="AA624" s="66"/>
      <c r="AB624" s="66"/>
      <c r="AC624" s="66"/>
      <c r="AD624" s="66"/>
    </row>
    <row r="625">
      <c r="A625" s="131"/>
      <c r="B625" s="75"/>
      <c r="C625" s="75"/>
      <c r="D625" s="75"/>
      <c r="E625" s="66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  <c r="AA625" s="66"/>
      <c r="AB625" s="66"/>
      <c r="AC625" s="66"/>
      <c r="AD625" s="66"/>
    </row>
    <row r="626">
      <c r="A626" s="131"/>
      <c r="B626" s="75"/>
      <c r="C626" s="75"/>
      <c r="D626" s="75"/>
      <c r="E626" s="66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  <c r="AA626" s="66"/>
      <c r="AB626" s="66"/>
      <c r="AC626" s="66"/>
      <c r="AD626" s="66"/>
    </row>
    <row r="627">
      <c r="A627" s="131"/>
      <c r="B627" s="75"/>
      <c r="C627" s="75"/>
      <c r="D627" s="75"/>
      <c r="E627" s="66"/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  <c r="AA627" s="66"/>
      <c r="AB627" s="66"/>
      <c r="AC627" s="66"/>
      <c r="AD627" s="66"/>
    </row>
    <row r="628">
      <c r="A628" s="131"/>
      <c r="B628" s="75"/>
      <c r="C628" s="75"/>
      <c r="D628" s="75"/>
      <c r="E628" s="66"/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  <c r="AA628" s="66"/>
      <c r="AB628" s="66"/>
      <c r="AC628" s="66"/>
      <c r="AD628" s="66"/>
    </row>
    <row r="629">
      <c r="A629" s="131"/>
      <c r="B629" s="75"/>
      <c r="C629" s="75"/>
      <c r="D629" s="75"/>
      <c r="E629" s="66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  <c r="AA629" s="66"/>
      <c r="AB629" s="66"/>
      <c r="AC629" s="66"/>
      <c r="AD629" s="66"/>
    </row>
    <row r="630">
      <c r="A630" s="131"/>
      <c r="B630" s="75"/>
      <c r="C630" s="75"/>
      <c r="D630" s="75"/>
      <c r="E630" s="66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  <c r="AA630" s="66"/>
      <c r="AB630" s="66"/>
      <c r="AC630" s="66"/>
      <c r="AD630" s="66"/>
    </row>
    <row r="631">
      <c r="A631" s="131"/>
      <c r="B631" s="75"/>
      <c r="C631" s="75"/>
      <c r="D631" s="75"/>
      <c r="E631" s="66"/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  <c r="AA631" s="66"/>
      <c r="AB631" s="66"/>
      <c r="AC631" s="66"/>
      <c r="AD631" s="66"/>
    </row>
    <row r="632">
      <c r="A632" s="131"/>
      <c r="B632" s="75"/>
      <c r="C632" s="75"/>
      <c r="D632" s="75"/>
      <c r="E632" s="66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  <c r="AA632" s="66"/>
      <c r="AB632" s="66"/>
      <c r="AC632" s="66"/>
      <c r="AD632" s="66"/>
    </row>
    <row r="633">
      <c r="A633" s="131"/>
      <c r="B633" s="75"/>
      <c r="C633" s="75"/>
      <c r="D633" s="75"/>
      <c r="E633" s="66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  <c r="AA633" s="66"/>
      <c r="AB633" s="66"/>
      <c r="AC633" s="66"/>
      <c r="AD633" s="66"/>
    </row>
    <row r="634">
      <c r="A634" s="131"/>
      <c r="B634" s="75"/>
      <c r="C634" s="75"/>
      <c r="D634" s="75"/>
      <c r="E634" s="66"/>
      <c r="F634" s="66"/>
      <c r="G634" s="66"/>
      <c r="H634" s="66"/>
      <c r="I634" s="66"/>
      <c r="J634" s="66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  <c r="AA634" s="66"/>
      <c r="AB634" s="66"/>
      <c r="AC634" s="66"/>
      <c r="AD634" s="66"/>
    </row>
    <row r="635">
      <c r="A635" s="131"/>
      <c r="B635" s="75"/>
      <c r="C635" s="75"/>
      <c r="D635" s="75"/>
      <c r="E635" s="66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  <c r="AA635" s="66"/>
      <c r="AB635" s="66"/>
      <c r="AC635" s="66"/>
      <c r="AD635" s="66"/>
    </row>
    <row r="636">
      <c r="A636" s="131"/>
      <c r="B636" s="75"/>
      <c r="C636" s="75"/>
      <c r="D636" s="75"/>
      <c r="E636" s="66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  <c r="AA636" s="66"/>
      <c r="AB636" s="66"/>
      <c r="AC636" s="66"/>
      <c r="AD636" s="66"/>
    </row>
    <row r="637">
      <c r="A637" s="131"/>
      <c r="B637" s="75"/>
      <c r="C637" s="75"/>
      <c r="D637" s="75"/>
      <c r="E637" s="66"/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  <c r="AA637" s="66"/>
      <c r="AB637" s="66"/>
      <c r="AC637" s="66"/>
      <c r="AD637" s="66"/>
    </row>
    <row r="638">
      <c r="A638" s="131"/>
      <c r="B638" s="75"/>
      <c r="C638" s="75"/>
      <c r="D638" s="75"/>
      <c r="E638" s="66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  <c r="AA638" s="66"/>
      <c r="AB638" s="66"/>
      <c r="AC638" s="66"/>
      <c r="AD638" s="66"/>
    </row>
    <row r="639">
      <c r="A639" s="131"/>
      <c r="B639" s="75"/>
      <c r="C639" s="75"/>
      <c r="D639" s="75"/>
      <c r="E639" s="66"/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  <c r="AA639" s="66"/>
      <c r="AB639" s="66"/>
      <c r="AC639" s="66"/>
      <c r="AD639" s="66"/>
    </row>
    <row r="640">
      <c r="A640" s="131"/>
      <c r="B640" s="75"/>
      <c r="C640" s="75"/>
      <c r="D640" s="75"/>
      <c r="E640" s="66"/>
      <c r="F640" s="66"/>
      <c r="G640" s="66"/>
      <c r="H640" s="66"/>
      <c r="I640" s="66"/>
      <c r="J640" s="66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  <c r="AA640" s="66"/>
      <c r="AB640" s="66"/>
      <c r="AC640" s="66"/>
      <c r="AD640" s="66"/>
    </row>
    <row r="641">
      <c r="A641" s="131"/>
      <c r="B641" s="75"/>
      <c r="C641" s="75"/>
      <c r="D641" s="75"/>
      <c r="E641" s="66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  <c r="AA641" s="66"/>
      <c r="AB641" s="66"/>
      <c r="AC641" s="66"/>
      <c r="AD641" s="66"/>
    </row>
    <row r="642">
      <c r="A642" s="131"/>
      <c r="B642" s="75"/>
      <c r="C642" s="75"/>
      <c r="D642" s="75"/>
      <c r="E642" s="66"/>
      <c r="F642" s="66"/>
      <c r="G642" s="66"/>
      <c r="H642" s="66"/>
      <c r="I642" s="66"/>
      <c r="J642" s="66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  <c r="AA642" s="66"/>
      <c r="AB642" s="66"/>
      <c r="AC642" s="66"/>
      <c r="AD642" s="66"/>
    </row>
    <row r="643">
      <c r="A643" s="131"/>
      <c r="B643" s="75"/>
      <c r="C643" s="75"/>
      <c r="D643" s="75"/>
      <c r="E643" s="66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  <c r="AA643" s="66"/>
      <c r="AB643" s="66"/>
      <c r="AC643" s="66"/>
      <c r="AD643" s="66"/>
    </row>
    <row r="644">
      <c r="A644" s="131"/>
      <c r="B644" s="75"/>
      <c r="C644" s="75"/>
      <c r="D644" s="75"/>
      <c r="E644" s="66"/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  <c r="AA644" s="66"/>
      <c r="AB644" s="66"/>
      <c r="AC644" s="66"/>
      <c r="AD644" s="66"/>
    </row>
    <row r="645">
      <c r="A645" s="131"/>
      <c r="B645" s="75"/>
      <c r="C645" s="75"/>
      <c r="D645" s="75"/>
      <c r="E645" s="66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  <c r="AA645" s="66"/>
      <c r="AB645" s="66"/>
      <c r="AC645" s="66"/>
      <c r="AD645" s="66"/>
    </row>
    <row r="646">
      <c r="A646" s="131"/>
      <c r="B646" s="75"/>
      <c r="C646" s="75"/>
      <c r="D646" s="75"/>
      <c r="E646" s="66"/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  <c r="AA646" s="66"/>
      <c r="AB646" s="66"/>
      <c r="AC646" s="66"/>
      <c r="AD646" s="66"/>
    </row>
    <row r="647">
      <c r="A647" s="131"/>
      <c r="B647" s="75"/>
      <c r="C647" s="75"/>
      <c r="D647" s="75"/>
      <c r="E647" s="66"/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  <c r="AA647" s="66"/>
      <c r="AB647" s="66"/>
      <c r="AC647" s="66"/>
      <c r="AD647" s="66"/>
    </row>
    <row r="648">
      <c r="A648" s="131"/>
      <c r="B648" s="75"/>
      <c r="C648" s="75"/>
      <c r="D648" s="75"/>
      <c r="E648" s="66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  <c r="AA648" s="66"/>
      <c r="AB648" s="66"/>
      <c r="AC648" s="66"/>
      <c r="AD648" s="66"/>
    </row>
    <row r="649">
      <c r="A649" s="131"/>
      <c r="B649" s="75"/>
      <c r="C649" s="75"/>
      <c r="D649" s="75"/>
      <c r="E649" s="66"/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  <c r="AA649" s="66"/>
      <c r="AB649" s="66"/>
      <c r="AC649" s="66"/>
      <c r="AD649" s="66"/>
    </row>
    <row r="650">
      <c r="A650" s="131"/>
      <c r="B650" s="75"/>
      <c r="C650" s="75"/>
      <c r="D650" s="75"/>
      <c r="E650" s="66"/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  <c r="AA650" s="66"/>
      <c r="AB650" s="66"/>
      <c r="AC650" s="66"/>
      <c r="AD650" s="66"/>
    </row>
    <row r="651">
      <c r="A651" s="131"/>
      <c r="B651" s="75"/>
      <c r="C651" s="75"/>
      <c r="D651" s="75"/>
      <c r="E651" s="66"/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  <c r="AA651" s="66"/>
      <c r="AB651" s="66"/>
      <c r="AC651" s="66"/>
      <c r="AD651" s="66"/>
    </row>
    <row r="652">
      <c r="A652" s="131"/>
      <c r="B652" s="75"/>
      <c r="C652" s="75"/>
      <c r="D652" s="75"/>
      <c r="E652" s="66"/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  <c r="AA652" s="66"/>
      <c r="AB652" s="66"/>
      <c r="AC652" s="66"/>
      <c r="AD652" s="66"/>
    </row>
    <row r="653">
      <c r="A653" s="131"/>
      <c r="B653" s="75"/>
      <c r="C653" s="75"/>
      <c r="D653" s="75"/>
      <c r="E653" s="66"/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  <c r="AA653" s="66"/>
      <c r="AB653" s="66"/>
      <c r="AC653" s="66"/>
      <c r="AD653" s="66"/>
    </row>
    <row r="654">
      <c r="A654" s="131"/>
      <c r="B654" s="75"/>
      <c r="C654" s="75"/>
      <c r="D654" s="75"/>
      <c r="E654" s="66"/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  <c r="AA654" s="66"/>
      <c r="AB654" s="66"/>
      <c r="AC654" s="66"/>
      <c r="AD654" s="66"/>
    </row>
    <row r="655">
      <c r="A655" s="131"/>
      <c r="B655" s="75"/>
      <c r="C655" s="75"/>
      <c r="D655" s="75"/>
      <c r="E655" s="66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  <c r="AA655" s="66"/>
      <c r="AB655" s="66"/>
      <c r="AC655" s="66"/>
      <c r="AD655" s="66"/>
    </row>
    <row r="656">
      <c r="A656" s="131"/>
      <c r="B656" s="75"/>
      <c r="C656" s="75"/>
      <c r="D656" s="75"/>
      <c r="E656" s="66"/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  <c r="AA656" s="66"/>
      <c r="AB656" s="66"/>
      <c r="AC656" s="66"/>
      <c r="AD656" s="66"/>
    </row>
    <row r="657">
      <c r="A657" s="131"/>
      <c r="B657" s="75"/>
      <c r="C657" s="75"/>
      <c r="D657" s="75"/>
      <c r="E657" s="66"/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  <c r="AA657" s="66"/>
      <c r="AB657" s="66"/>
      <c r="AC657" s="66"/>
      <c r="AD657" s="66"/>
    </row>
    <row r="658">
      <c r="A658" s="131"/>
      <c r="B658" s="75"/>
      <c r="C658" s="75"/>
      <c r="D658" s="75"/>
      <c r="E658" s="66"/>
      <c r="F658" s="66"/>
      <c r="G658" s="66"/>
      <c r="H658" s="66"/>
      <c r="I658" s="66"/>
      <c r="J658" s="66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  <c r="AA658" s="66"/>
      <c r="AB658" s="66"/>
      <c r="AC658" s="66"/>
      <c r="AD658" s="66"/>
    </row>
    <row r="659">
      <c r="A659" s="131"/>
      <c r="B659" s="75"/>
      <c r="C659" s="75"/>
      <c r="D659" s="75"/>
      <c r="E659" s="66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  <c r="AA659" s="66"/>
      <c r="AB659" s="66"/>
      <c r="AC659" s="66"/>
      <c r="AD659" s="66"/>
    </row>
    <row r="660">
      <c r="A660" s="131"/>
      <c r="B660" s="75"/>
      <c r="C660" s="75"/>
      <c r="D660" s="75"/>
      <c r="E660" s="66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  <c r="AA660" s="66"/>
      <c r="AB660" s="66"/>
      <c r="AC660" s="66"/>
      <c r="AD660" s="66"/>
    </row>
    <row r="661">
      <c r="A661" s="131"/>
      <c r="B661" s="75"/>
      <c r="C661" s="75"/>
      <c r="D661" s="75"/>
      <c r="E661" s="66"/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  <c r="AA661" s="66"/>
      <c r="AB661" s="66"/>
      <c r="AC661" s="66"/>
      <c r="AD661" s="66"/>
    </row>
    <row r="662">
      <c r="A662" s="131"/>
      <c r="B662" s="75"/>
      <c r="C662" s="75"/>
      <c r="D662" s="75"/>
      <c r="E662" s="66"/>
      <c r="F662" s="66"/>
      <c r="G662" s="66"/>
      <c r="H662" s="66"/>
      <c r="I662" s="66"/>
      <c r="J662" s="66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  <c r="AA662" s="66"/>
      <c r="AB662" s="66"/>
      <c r="AC662" s="66"/>
      <c r="AD662" s="66"/>
    </row>
    <row r="663">
      <c r="A663" s="131"/>
      <c r="B663" s="75"/>
      <c r="C663" s="75"/>
      <c r="D663" s="75"/>
      <c r="E663" s="66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  <c r="AA663" s="66"/>
      <c r="AB663" s="66"/>
      <c r="AC663" s="66"/>
      <c r="AD663" s="66"/>
    </row>
    <row r="664">
      <c r="A664" s="131"/>
      <c r="B664" s="75"/>
      <c r="C664" s="75"/>
      <c r="D664" s="75"/>
      <c r="E664" s="66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  <c r="AA664" s="66"/>
      <c r="AB664" s="66"/>
      <c r="AC664" s="66"/>
      <c r="AD664" s="66"/>
    </row>
    <row r="665">
      <c r="A665" s="131"/>
      <c r="B665" s="75"/>
      <c r="C665" s="75"/>
      <c r="D665" s="75"/>
      <c r="E665" s="66"/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  <c r="AA665" s="66"/>
      <c r="AB665" s="66"/>
      <c r="AC665" s="66"/>
      <c r="AD665" s="66"/>
    </row>
    <row r="666">
      <c r="A666" s="131"/>
      <c r="B666" s="75"/>
      <c r="C666" s="75"/>
      <c r="D666" s="75"/>
      <c r="E666" s="66"/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  <c r="AA666" s="66"/>
      <c r="AB666" s="66"/>
      <c r="AC666" s="66"/>
      <c r="AD666" s="66"/>
    </row>
    <row r="667">
      <c r="A667" s="131"/>
      <c r="B667" s="75"/>
      <c r="C667" s="75"/>
      <c r="D667" s="75"/>
      <c r="E667" s="66"/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  <c r="AA667" s="66"/>
      <c r="AB667" s="66"/>
      <c r="AC667" s="66"/>
      <c r="AD667" s="66"/>
    </row>
    <row r="668">
      <c r="A668" s="131"/>
      <c r="B668" s="75"/>
      <c r="C668" s="75"/>
      <c r="D668" s="75"/>
      <c r="E668" s="6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  <c r="AA668" s="66"/>
      <c r="AB668" s="66"/>
      <c r="AC668" s="66"/>
      <c r="AD668" s="66"/>
    </row>
    <row r="669">
      <c r="A669" s="131"/>
      <c r="B669" s="75"/>
      <c r="C669" s="75"/>
      <c r="D669" s="75"/>
      <c r="E669" s="66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  <c r="AA669" s="66"/>
      <c r="AB669" s="66"/>
      <c r="AC669" s="66"/>
      <c r="AD669" s="66"/>
    </row>
    <row r="670">
      <c r="A670" s="131"/>
      <c r="B670" s="75"/>
      <c r="C670" s="75"/>
      <c r="D670" s="75"/>
      <c r="E670" s="66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  <c r="AA670" s="66"/>
      <c r="AB670" s="66"/>
      <c r="AC670" s="66"/>
      <c r="AD670" s="66"/>
    </row>
    <row r="671">
      <c r="A671" s="131"/>
      <c r="B671" s="75"/>
      <c r="C671" s="75"/>
      <c r="D671" s="75"/>
      <c r="E671" s="66"/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  <c r="AA671" s="66"/>
      <c r="AB671" s="66"/>
      <c r="AC671" s="66"/>
      <c r="AD671" s="66"/>
    </row>
    <row r="672">
      <c r="A672" s="131"/>
      <c r="B672" s="75"/>
      <c r="C672" s="75"/>
      <c r="D672" s="75"/>
      <c r="E672" s="66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  <c r="AA672" s="66"/>
      <c r="AB672" s="66"/>
      <c r="AC672" s="66"/>
      <c r="AD672" s="66"/>
    </row>
    <row r="673">
      <c r="A673" s="131"/>
      <c r="B673" s="75"/>
      <c r="C673" s="75"/>
      <c r="D673" s="75"/>
      <c r="E673" s="66"/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  <c r="AA673" s="66"/>
      <c r="AB673" s="66"/>
      <c r="AC673" s="66"/>
      <c r="AD673" s="66"/>
    </row>
    <row r="674">
      <c r="A674" s="131"/>
      <c r="B674" s="75"/>
      <c r="C674" s="75"/>
      <c r="D674" s="75"/>
      <c r="E674" s="66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  <c r="AA674" s="66"/>
      <c r="AB674" s="66"/>
      <c r="AC674" s="66"/>
      <c r="AD674" s="66"/>
    </row>
    <row r="675">
      <c r="A675" s="131"/>
      <c r="B675" s="75"/>
      <c r="C675" s="75"/>
      <c r="D675" s="75"/>
      <c r="E675" s="66"/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  <c r="AA675" s="66"/>
      <c r="AB675" s="66"/>
      <c r="AC675" s="66"/>
      <c r="AD675" s="66"/>
    </row>
    <row r="676">
      <c r="A676" s="131"/>
      <c r="B676" s="75"/>
      <c r="C676" s="75"/>
      <c r="D676" s="75"/>
      <c r="E676" s="66"/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  <c r="AA676" s="66"/>
      <c r="AB676" s="66"/>
      <c r="AC676" s="66"/>
      <c r="AD676" s="66"/>
    </row>
    <row r="677">
      <c r="A677" s="131"/>
      <c r="B677" s="75"/>
      <c r="C677" s="75"/>
      <c r="D677" s="75"/>
      <c r="E677" s="6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  <c r="AA677" s="66"/>
      <c r="AB677" s="66"/>
      <c r="AC677" s="66"/>
      <c r="AD677" s="66"/>
    </row>
    <row r="678">
      <c r="A678" s="131"/>
      <c r="B678" s="75"/>
      <c r="C678" s="75"/>
      <c r="D678" s="75"/>
      <c r="E678" s="66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  <c r="AA678" s="66"/>
      <c r="AB678" s="66"/>
      <c r="AC678" s="66"/>
      <c r="AD678" s="66"/>
    </row>
    <row r="679">
      <c r="A679" s="131"/>
      <c r="B679" s="75"/>
      <c r="C679" s="75"/>
      <c r="D679" s="75"/>
      <c r="E679" s="66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  <c r="AA679" s="66"/>
      <c r="AB679" s="66"/>
      <c r="AC679" s="66"/>
      <c r="AD679" s="66"/>
    </row>
    <row r="680">
      <c r="A680" s="131"/>
      <c r="B680" s="75"/>
      <c r="C680" s="75"/>
      <c r="D680" s="75"/>
      <c r="E680" s="66"/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  <c r="AA680" s="66"/>
      <c r="AB680" s="66"/>
      <c r="AC680" s="66"/>
      <c r="AD680" s="66"/>
    </row>
    <row r="681">
      <c r="A681" s="131"/>
      <c r="B681" s="75"/>
      <c r="C681" s="75"/>
      <c r="D681" s="75"/>
      <c r="E681" s="66"/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  <c r="AA681" s="66"/>
      <c r="AB681" s="66"/>
      <c r="AC681" s="66"/>
      <c r="AD681" s="66"/>
    </row>
    <row r="682">
      <c r="A682" s="131"/>
      <c r="B682" s="75"/>
      <c r="C682" s="75"/>
      <c r="D682" s="75"/>
      <c r="E682" s="66"/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  <c r="AA682" s="66"/>
      <c r="AB682" s="66"/>
      <c r="AC682" s="66"/>
      <c r="AD682" s="66"/>
    </row>
    <row r="683">
      <c r="A683" s="131"/>
      <c r="B683" s="75"/>
      <c r="C683" s="75"/>
      <c r="D683" s="75"/>
      <c r="E683" s="66"/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  <c r="AA683" s="66"/>
      <c r="AB683" s="66"/>
      <c r="AC683" s="66"/>
      <c r="AD683" s="66"/>
    </row>
    <row r="684">
      <c r="A684" s="131"/>
      <c r="B684" s="75"/>
      <c r="C684" s="75"/>
      <c r="D684" s="75"/>
      <c r="E684" s="66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  <c r="AA684" s="66"/>
      <c r="AB684" s="66"/>
      <c r="AC684" s="66"/>
      <c r="AD684" s="66"/>
    </row>
    <row r="685">
      <c r="A685" s="131"/>
      <c r="B685" s="75"/>
      <c r="C685" s="75"/>
      <c r="D685" s="75"/>
      <c r="E685" s="66"/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  <c r="AA685" s="66"/>
      <c r="AB685" s="66"/>
      <c r="AC685" s="66"/>
      <c r="AD685" s="66"/>
    </row>
    <row r="686">
      <c r="A686" s="131"/>
      <c r="B686" s="75"/>
      <c r="C686" s="75"/>
      <c r="D686" s="75"/>
      <c r="E686" s="66"/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  <c r="AA686" s="66"/>
      <c r="AB686" s="66"/>
      <c r="AC686" s="66"/>
      <c r="AD686" s="66"/>
    </row>
    <row r="687">
      <c r="A687" s="131"/>
      <c r="B687" s="75"/>
      <c r="C687" s="75"/>
      <c r="D687" s="75"/>
      <c r="E687" s="66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  <c r="AA687" s="66"/>
      <c r="AB687" s="66"/>
      <c r="AC687" s="66"/>
      <c r="AD687" s="66"/>
    </row>
    <row r="688">
      <c r="A688" s="131"/>
      <c r="B688" s="75"/>
      <c r="C688" s="75"/>
      <c r="D688" s="75"/>
      <c r="E688" s="66"/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  <c r="AA688" s="66"/>
      <c r="AB688" s="66"/>
      <c r="AC688" s="66"/>
      <c r="AD688" s="66"/>
    </row>
    <row r="689">
      <c r="A689" s="131"/>
      <c r="B689" s="75"/>
      <c r="C689" s="75"/>
      <c r="D689" s="75"/>
      <c r="E689" s="66"/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  <c r="AA689" s="66"/>
      <c r="AB689" s="66"/>
      <c r="AC689" s="66"/>
      <c r="AD689" s="66"/>
    </row>
    <row r="690">
      <c r="A690" s="131"/>
      <c r="B690" s="75"/>
      <c r="C690" s="75"/>
      <c r="D690" s="75"/>
      <c r="E690" s="66"/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  <c r="AA690" s="66"/>
      <c r="AB690" s="66"/>
      <c r="AC690" s="66"/>
      <c r="AD690" s="66"/>
    </row>
    <row r="691">
      <c r="A691" s="131"/>
      <c r="B691" s="75"/>
      <c r="C691" s="75"/>
      <c r="D691" s="75"/>
      <c r="E691" s="66"/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  <c r="AA691" s="66"/>
      <c r="AB691" s="66"/>
      <c r="AC691" s="66"/>
      <c r="AD691" s="66"/>
    </row>
    <row r="692">
      <c r="A692" s="131"/>
      <c r="B692" s="75"/>
      <c r="C692" s="75"/>
      <c r="D692" s="75"/>
      <c r="E692" s="66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  <c r="AA692" s="66"/>
      <c r="AB692" s="66"/>
      <c r="AC692" s="66"/>
      <c r="AD692" s="66"/>
    </row>
    <row r="693">
      <c r="A693" s="131"/>
      <c r="B693" s="75"/>
      <c r="C693" s="75"/>
      <c r="D693" s="75"/>
      <c r="E693" s="66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  <c r="AA693" s="66"/>
      <c r="AB693" s="66"/>
      <c r="AC693" s="66"/>
      <c r="AD693" s="66"/>
    </row>
    <row r="694">
      <c r="A694" s="131"/>
      <c r="B694" s="75"/>
      <c r="C694" s="75"/>
      <c r="D694" s="75"/>
      <c r="E694" s="66"/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  <c r="AA694" s="66"/>
      <c r="AB694" s="66"/>
      <c r="AC694" s="66"/>
      <c r="AD694" s="66"/>
    </row>
    <row r="695">
      <c r="A695" s="131"/>
      <c r="B695" s="75"/>
      <c r="C695" s="75"/>
      <c r="D695" s="75"/>
      <c r="E695" s="66"/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  <c r="AA695" s="66"/>
      <c r="AB695" s="66"/>
      <c r="AC695" s="66"/>
      <c r="AD695" s="66"/>
    </row>
    <row r="696">
      <c r="A696" s="131"/>
      <c r="B696" s="75"/>
      <c r="C696" s="75"/>
      <c r="D696" s="75"/>
      <c r="E696" s="66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  <c r="AA696" s="66"/>
      <c r="AB696" s="66"/>
      <c r="AC696" s="66"/>
      <c r="AD696" s="66"/>
    </row>
    <row r="697">
      <c r="A697" s="131"/>
      <c r="B697" s="75"/>
      <c r="C697" s="75"/>
      <c r="D697" s="75"/>
      <c r="E697" s="66"/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  <c r="AA697" s="66"/>
      <c r="AB697" s="66"/>
      <c r="AC697" s="66"/>
      <c r="AD697" s="66"/>
    </row>
    <row r="698">
      <c r="A698" s="131"/>
      <c r="B698" s="75"/>
      <c r="C698" s="75"/>
      <c r="D698" s="75"/>
      <c r="E698" s="66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  <c r="AA698" s="66"/>
      <c r="AB698" s="66"/>
      <c r="AC698" s="66"/>
      <c r="AD698" s="66"/>
    </row>
    <row r="699">
      <c r="A699" s="131"/>
      <c r="B699" s="75"/>
      <c r="C699" s="75"/>
      <c r="D699" s="75"/>
      <c r="E699" s="66"/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  <c r="AA699" s="66"/>
      <c r="AB699" s="66"/>
      <c r="AC699" s="66"/>
      <c r="AD699" s="66"/>
    </row>
    <row r="700">
      <c r="A700" s="131"/>
      <c r="B700" s="75"/>
      <c r="C700" s="75"/>
      <c r="D700" s="75"/>
      <c r="E700" s="66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  <c r="AA700" s="66"/>
      <c r="AB700" s="66"/>
      <c r="AC700" s="66"/>
      <c r="AD700" s="66"/>
    </row>
    <row r="701">
      <c r="A701" s="131"/>
      <c r="B701" s="75"/>
      <c r="C701" s="75"/>
      <c r="D701" s="75"/>
      <c r="E701" s="66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  <c r="AA701" s="66"/>
      <c r="AB701" s="66"/>
      <c r="AC701" s="66"/>
      <c r="AD701" s="66"/>
    </row>
    <row r="702">
      <c r="A702" s="131"/>
      <c r="B702" s="75"/>
      <c r="C702" s="75"/>
      <c r="D702" s="75"/>
      <c r="E702" s="66"/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  <c r="AA702" s="66"/>
      <c r="AB702" s="66"/>
      <c r="AC702" s="66"/>
      <c r="AD702" s="66"/>
    </row>
    <row r="703">
      <c r="A703" s="131"/>
      <c r="B703" s="75"/>
      <c r="C703" s="75"/>
      <c r="D703" s="75"/>
      <c r="E703" s="66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  <c r="AA703" s="66"/>
      <c r="AB703" s="66"/>
      <c r="AC703" s="66"/>
      <c r="AD703" s="66"/>
    </row>
    <row r="704">
      <c r="A704" s="131"/>
      <c r="B704" s="75"/>
      <c r="C704" s="75"/>
      <c r="D704" s="75"/>
      <c r="E704" s="66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  <c r="AA704" s="66"/>
      <c r="AB704" s="66"/>
      <c r="AC704" s="66"/>
      <c r="AD704" s="66"/>
    </row>
    <row r="705">
      <c r="A705" s="131"/>
      <c r="B705" s="75"/>
      <c r="C705" s="75"/>
      <c r="D705" s="75"/>
      <c r="E705" s="66"/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  <c r="AA705" s="66"/>
      <c r="AB705" s="66"/>
      <c r="AC705" s="66"/>
      <c r="AD705" s="66"/>
    </row>
    <row r="706">
      <c r="A706" s="131"/>
      <c r="B706" s="75"/>
      <c r="C706" s="75"/>
      <c r="D706" s="75"/>
      <c r="E706" s="66"/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  <c r="AA706" s="66"/>
      <c r="AB706" s="66"/>
      <c r="AC706" s="66"/>
      <c r="AD706" s="66"/>
    </row>
    <row r="707">
      <c r="A707" s="131"/>
      <c r="B707" s="75"/>
      <c r="C707" s="75"/>
      <c r="D707" s="75"/>
      <c r="E707" s="66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  <c r="AA707" s="66"/>
      <c r="AB707" s="66"/>
      <c r="AC707" s="66"/>
      <c r="AD707" s="66"/>
    </row>
    <row r="708">
      <c r="A708" s="131"/>
      <c r="B708" s="75"/>
      <c r="C708" s="75"/>
      <c r="D708" s="75"/>
      <c r="E708" s="66"/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  <c r="AA708" s="66"/>
      <c r="AB708" s="66"/>
      <c r="AC708" s="66"/>
      <c r="AD708" s="66"/>
    </row>
    <row r="709">
      <c r="A709" s="131"/>
      <c r="B709" s="75"/>
      <c r="C709" s="75"/>
      <c r="D709" s="75"/>
      <c r="E709" s="66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  <c r="AA709" s="66"/>
      <c r="AB709" s="66"/>
      <c r="AC709" s="66"/>
      <c r="AD709" s="66"/>
    </row>
    <row r="710">
      <c r="A710" s="131"/>
      <c r="B710" s="75"/>
      <c r="C710" s="75"/>
      <c r="D710" s="75"/>
      <c r="E710" s="66"/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  <c r="AA710" s="66"/>
      <c r="AB710" s="66"/>
      <c r="AC710" s="66"/>
      <c r="AD710" s="66"/>
    </row>
    <row r="711">
      <c r="A711" s="131"/>
      <c r="B711" s="75"/>
      <c r="C711" s="75"/>
      <c r="D711" s="75"/>
      <c r="E711" s="66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  <c r="AA711" s="66"/>
      <c r="AB711" s="66"/>
      <c r="AC711" s="66"/>
      <c r="AD711" s="66"/>
    </row>
    <row r="712">
      <c r="A712" s="131"/>
      <c r="B712" s="75"/>
      <c r="C712" s="75"/>
      <c r="D712" s="75"/>
      <c r="E712" s="66"/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  <c r="AA712" s="66"/>
      <c r="AB712" s="66"/>
      <c r="AC712" s="66"/>
      <c r="AD712" s="66"/>
    </row>
    <row r="713">
      <c r="A713" s="131"/>
      <c r="B713" s="75"/>
      <c r="C713" s="75"/>
      <c r="D713" s="75"/>
      <c r="E713" s="66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  <c r="AA713" s="66"/>
      <c r="AB713" s="66"/>
      <c r="AC713" s="66"/>
      <c r="AD713" s="66"/>
    </row>
    <row r="714">
      <c r="A714" s="131"/>
      <c r="B714" s="75"/>
      <c r="C714" s="75"/>
      <c r="D714" s="75"/>
      <c r="E714" s="66"/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  <c r="AA714" s="66"/>
      <c r="AB714" s="66"/>
      <c r="AC714" s="66"/>
      <c r="AD714" s="66"/>
    </row>
    <row r="715">
      <c r="A715" s="131"/>
      <c r="B715" s="75"/>
      <c r="C715" s="75"/>
      <c r="D715" s="75"/>
      <c r="E715" s="66"/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  <c r="AA715" s="66"/>
      <c r="AB715" s="66"/>
      <c r="AC715" s="66"/>
      <c r="AD715" s="66"/>
    </row>
    <row r="716">
      <c r="A716" s="131"/>
      <c r="B716" s="75"/>
      <c r="C716" s="75"/>
      <c r="D716" s="75"/>
      <c r="E716" s="66"/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  <c r="AA716" s="66"/>
      <c r="AB716" s="66"/>
      <c r="AC716" s="66"/>
      <c r="AD716" s="66"/>
    </row>
    <row r="717">
      <c r="A717" s="131"/>
      <c r="B717" s="75"/>
      <c r="C717" s="75"/>
      <c r="D717" s="75"/>
      <c r="E717" s="66"/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  <c r="AA717" s="66"/>
      <c r="AB717" s="66"/>
      <c r="AC717" s="66"/>
      <c r="AD717" s="66"/>
    </row>
    <row r="718">
      <c r="A718" s="131"/>
      <c r="B718" s="75"/>
      <c r="C718" s="75"/>
      <c r="D718" s="75"/>
      <c r="E718" s="66"/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  <c r="AA718" s="66"/>
      <c r="AB718" s="66"/>
      <c r="AC718" s="66"/>
      <c r="AD718" s="66"/>
    </row>
    <row r="719">
      <c r="A719" s="131"/>
      <c r="B719" s="75"/>
      <c r="C719" s="75"/>
      <c r="D719" s="75"/>
      <c r="E719" s="66"/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  <c r="AA719" s="66"/>
      <c r="AB719" s="66"/>
      <c r="AC719" s="66"/>
      <c r="AD719" s="66"/>
    </row>
    <row r="720">
      <c r="A720" s="131"/>
      <c r="B720" s="75"/>
      <c r="C720" s="75"/>
      <c r="D720" s="75"/>
      <c r="E720" s="66"/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  <c r="AA720" s="66"/>
      <c r="AB720" s="66"/>
      <c r="AC720" s="66"/>
      <c r="AD720" s="66"/>
    </row>
    <row r="721">
      <c r="A721" s="131"/>
      <c r="B721" s="75"/>
      <c r="C721" s="75"/>
      <c r="D721" s="75"/>
      <c r="E721" s="66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  <c r="AA721" s="66"/>
      <c r="AB721" s="66"/>
      <c r="AC721" s="66"/>
      <c r="AD721" s="66"/>
    </row>
    <row r="722">
      <c r="A722" s="131"/>
      <c r="B722" s="75"/>
      <c r="C722" s="75"/>
      <c r="D722" s="75"/>
      <c r="E722" s="66"/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  <c r="AA722" s="66"/>
      <c r="AB722" s="66"/>
      <c r="AC722" s="66"/>
      <c r="AD722" s="66"/>
    </row>
    <row r="723">
      <c r="A723" s="131"/>
      <c r="B723" s="75"/>
      <c r="C723" s="75"/>
      <c r="D723" s="75"/>
      <c r="E723" s="66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  <c r="AA723" s="66"/>
      <c r="AB723" s="66"/>
      <c r="AC723" s="66"/>
      <c r="AD723" s="66"/>
    </row>
    <row r="724">
      <c r="A724" s="131"/>
      <c r="B724" s="75"/>
      <c r="C724" s="75"/>
      <c r="D724" s="75"/>
      <c r="E724" s="66"/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  <c r="AA724" s="66"/>
      <c r="AB724" s="66"/>
      <c r="AC724" s="66"/>
      <c r="AD724" s="66"/>
    </row>
    <row r="725">
      <c r="A725" s="131"/>
      <c r="B725" s="75"/>
      <c r="C725" s="75"/>
      <c r="D725" s="75"/>
      <c r="E725" s="66"/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  <c r="AA725" s="66"/>
      <c r="AB725" s="66"/>
      <c r="AC725" s="66"/>
      <c r="AD725" s="66"/>
    </row>
    <row r="726">
      <c r="A726" s="131"/>
      <c r="B726" s="75"/>
      <c r="C726" s="75"/>
      <c r="D726" s="75"/>
      <c r="E726" s="66"/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  <c r="AA726" s="66"/>
      <c r="AB726" s="66"/>
      <c r="AC726" s="66"/>
      <c r="AD726" s="66"/>
    </row>
    <row r="727">
      <c r="A727" s="131"/>
      <c r="B727" s="75"/>
      <c r="C727" s="75"/>
      <c r="D727" s="75"/>
      <c r="E727" s="66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  <c r="AA727" s="66"/>
      <c r="AB727" s="66"/>
      <c r="AC727" s="66"/>
      <c r="AD727" s="66"/>
    </row>
    <row r="728">
      <c r="A728" s="131"/>
      <c r="B728" s="75"/>
      <c r="C728" s="75"/>
      <c r="D728" s="75"/>
      <c r="E728" s="66"/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  <c r="AA728" s="66"/>
      <c r="AB728" s="66"/>
      <c r="AC728" s="66"/>
      <c r="AD728" s="66"/>
    </row>
    <row r="729">
      <c r="A729" s="131"/>
      <c r="B729" s="75"/>
      <c r="C729" s="75"/>
      <c r="D729" s="75"/>
      <c r="E729" s="66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  <c r="AA729" s="66"/>
      <c r="AB729" s="66"/>
      <c r="AC729" s="66"/>
      <c r="AD729" s="66"/>
    </row>
    <row r="730">
      <c r="A730" s="131"/>
      <c r="B730" s="75"/>
      <c r="C730" s="75"/>
      <c r="D730" s="75"/>
      <c r="E730" s="66"/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  <c r="AA730" s="66"/>
      <c r="AB730" s="66"/>
      <c r="AC730" s="66"/>
      <c r="AD730" s="66"/>
    </row>
    <row r="731">
      <c r="A731" s="131"/>
      <c r="B731" s="75"/>
      <c r="C731" s="75"/>
      <c r="D731" s="75"/>
      <c r="E731" s="66"/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  <c r="AA731" s="66"/>
      <c r="AB731" s="66"/>
      <c r="AC731" s="66"/>
      <c r="AD731" s="66"/>
    </row>
    <row r="732">
      <c r="A732" s="131"/>
      <c r="B732" s="75"/>
      <c r="C732" s="75"/>
      <c r="D732" s="75"/>
      <c r="E732" s="66"/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  <c r="AA732" s="66"/>
      <c r="AB732" s="66"/>
      <c r="AC732" s="66"/>
      <c r="AD732" s="66"/>
    </row>
    <row r="733">
      <c r="A733" s="131"/>
      <c r="B733" s="75"/>
      <c r="C733" s="75"/>
      <c r="D733" s="75"/>
      <c r="E733" s="66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  <c r="AA733" s="66"/>
      <c r="AB733" s="66"/>
      <c r="AC733" s="66"/>
      <c r="AD733" s="66"/>
    </row>
    <row r="734">
      <c r="A734" s="131"/>
      <c r="B734" s="75"/>
      <c r="C734" s="75"/>
      <c r="D734" s="75"/>
      <c r="E734" s="66"/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  <c r="AA734" s="66"/>
      <c r="AB734" s="66"/>
      <c r="AC734" s="66"/>
      <c r="AD734" s="66"/>
    </row>
    <row r="735">
      <c r="A735" s="131"/>
      <c r="B735" s="75"/>
      <c r="C735" s="75"/>
      <c r="D735" s="75"/>
      <c r="E735" s="66"/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  <c r="AA735" s="66"/>
      <c r="AB735" s="66"/>
      <c r="AC735" s="66"/>
      <c r="AD735" s="66"/>
    </row>
    <row r="736">
      <c r="A736" s="131"/>
      <c r="B736" s="75"/>
      <c r="C736" s="75"/>
      <c r="D736" s="75"/>
      <c r="E736" s="66"/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  <c r="AA736" s="66"/>
      <c r="AB736" s="66"/>
      <c r="AC736" s="66"/>
      <c r="AD736" s="66"/>
    </row>
    <row r="737">
      <c r="A737" s="131"/>
      <c r="B737" s="75"/>
      <c r="C737" s="75"/>
      <c r="D737" s="75"/>
      <c r="E737" s="66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  <c r="AA737" s="66"/>
      <c r="AB737" s="66"/>
      <c r="AC737" s="66"/>
      <c r="AD737" s="66"/>
    </row>
    <row r="738">
      <c r="A738" s="131"/>
      <c r="B738" s="75"/>
      <c r="C738" s="75"/>
      <c r="D738" s="75"/>
      <c r="E738" s="66"/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  <c r="AA738" s="66"/>
      <c r="AB738" s="66"/>
      <c r="AC738" s="66"/>
      <c r="AD738" s="66"/>
    </row>
    <row r="739">
      <c r="A739" s="131"/>
      <c r="B739" s="75"/>
      <c r="C739" s="75"/>
      <c r="D739" s="75"/>
      <c r="E739" s="66"/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  <c r="AA739" s="66"/>
      <c r="AB739" s="66"/>
      <c r="AC739" s="66"/>
      <c r="AD739" s="66"/>
    </row>
    <row r="740">
      <c r="A740" s="131"/>
      <c r="B740" s="75"/>
      <c r="C740" s="75"/>
      <c r="D740" s="75"/>
      <c r="E740" s="66"/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  <c r="AA740" s="66"/>
      <c r="AB740" s="66"/>
      <c r="AC740" s="66"/>
      <c r="AD740" s="66"/>
    </row>
    <row r="741">
      <c r="A741" s="131"/>
      <c r="B741" s="75"/>
      <c r="C741" s="75"/>
      <c r="D741" s="75"/>
      <c r="E741" s="66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  <c r="AA741" s="66"/>
      <c r="AB741" s="66"/>
      <c r="AC741" s="66"/>
      <c r="AD741" s="66"/>
    </row>
    <row r="742">
      <c r="A742" s="131"/>
      <c r="B742" s="75"/>
      <c r="C742" s="75"/>
      <c r="D742" s="75"/>
      <c r="E742" s="66"/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  <c r="AA742" s="66"/>
      <c r="AB742" s="66"/>
      <c r="AC742" s="66"/>
      <c r="AD742" s="66"/>
    </row>
    <row r="743">
      <c r="A743" s="131"/>
      <c r="B743" s="75"/>
      <c r="C743" s="75"/>
      <c r="D743" s="75"/>
      <c r="E743" s="66"/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  <c r="AA743" s="66"/>
      <c r="AB743" s="66"/>
      <c r="AC743" s="66"/>
      <c r="AD743" s="66"/>
    </row>
    <row r="744">
      <c r="A744" s="131"/>
      <c r="B744" s="75"/>
      <c r="C744" s="75"/>
      <c r="D744" s="75"/>
      <c r="E744" s="66"/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  <c r="AA744" s="66"/>
      <c r="AB744" s="66"/>
      <c r="AC744" s="66"/>
      <c r="AD744" s="66"/>
    </row>
    <row r="745">
      <c r="A745" s="131"/>
      <c r="B745" s="75"/>
      <c r="C745" s="75"/>
      <c r="D745" s="75"/>
      <c r="E745" s="66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  <c r="AA745" s="66"/>
      <c r="AB745" s="66"/>
      <c r="AC745" s="66"/>
      <c r="AD745" s="66"/>
    </row>
    <row r="746">
      <c r="A746" s="131"/>
      <c r="B746" s="75"/>
      <c r="C746" s="75"/>
      <c r="D746" s="75"/>
      <c r="E746" s="66"/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  <c r="AA746" s="66"/>
      <c r="AB746" s="66"/>
      <c r="AC746" s="66"/>
      <c r="AD746" s="66"/>
    </row>
    <row r="747">
      <c r="A747" s="131"/>
      <c r="B747" s="75"/>
      <c r="C747" s="75"/>
      <c r="D747" s="75"/>
      <c r="E747" s="66"/>
      <c r="F747" s="66"/>
      <c r="G747" s="66"/>
      <c r="H747" s="66"/>
      <c r="I747" s="66"/>
      <c r="J747" s="66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  <c r="AA747" s="66"/>
      <c r="AB747" s="66"/>
      <c r="AC747" s="66"/>
      <c r="AD747" s="66"/>
    </row>
    <row r="748">
      <c r="A748" s="131"/>
      <c r="B748" s="75"/>
      <c r="C748" s="75"/>
      <c r="D748" s="75"/>
      <c r="E748" s="66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  <c r="AA748" s="66"/>
      <c r="AB748" s="66"/>
      <c r="AC748" s="66"/>
      <c r="AD748" s="66"/>
    </row>
    <row r="749">
      <c r="A749" s="131"/>
      <c r="B749" s="75"/>
      <c r="C749" s="75"/>
      <c r="D749" s="75"/>
      <c r="E749" s="66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  <c r="AA749" s="66"/>
      <c r="AB749" s="66"/>
      <c r="AC749" s="66"/>
      <c r="AD749" s="66"/>
    </row>
    <row r="750">
      <c r="A750" s="131"/>
      <c r="B750" s="75"/>
      <c r="C750" s="75"/>
      <c r="D750" s="75"/>
      <c r="E750" s="66"/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  <c r="AA750" s="66"/>
      <c r="AB750" s="66"/>
      <c r="AC750" s="66"/>
      <c r="AD750" s="66"/>
    </row>
    <row r="751">
      <c r="A751" s="131"/>
      <c r="B751" s="75"/>
      <c r="C751" s="75"/>
      <c r="D751" s="75"/>
      <c r="E751" s="66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  <c r="AA751" s="66"/>
      <c r="AB751" s="66"/>
      <c r="AC751" s="66"/>
      <c r="AD751" s="66"/>
    </row>
    <row r="752">
      <c r="A752" s="131"/>
      <c r="B752" s="75"/>
      <c r="C752" s="75"/>
      <c r="D752" s="75"/>
      <c r="E752" s="66"/>
      <c r="F752" s="66"/>
      <c r="G752" s="66"/>
      <c r="H752" s="66"/>
      <c r="I752" s="66"/>
      <c r="J752" s="66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  <c r="AA752" s="66"/>
      <c r="AB752" s="66"/>
      <c r="AC752" s="66"/>
      <c r="AD752" s="66"/>
    </row>
    <row r="753">
      <c r="A753" s="131"/>
      <c r="B753" s="75"/>
      <c r="C753" s="75"/>
      <c r="D753" s="75"/>
      <c r="E753" s="66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  <c r="AA753" s="66"/>
      <c r="AB753" s="66"/>
      <c r="AC753" s="66"/>
      <c r="AD753" s="66"/>
    </row>
    <row r="754">
      <c r="A754" s="131"/>
      <c r="B754" s="75"/>
      <c r="C754" s="75"/>
      <c r="D754" s="75"/>
      <c r="E754" s="66"/>
      <c r="F754" s="66"/>
      <c r="G754" s="66"/>
      <c r="H754" s="66"/>
      <c r="I754" s="66"/>
      <c r="J754" s="66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  <c r="AA754" s="66"/>
      <c r="AB754" s="66"/>
      <c r="AC754" s="66"/>
      <c r="AD754" s="66"/>
    </row>
    <row r="755">
      <c r="A755" s="131"/>
      <c r="B755" s="75"/>
      <c r="C755" s="75"/>
      <c r="D755" s="75"/>
      <c r="E755" s="66"/>
      <c r="F755" s="66"/>
      <c r="G755" s="66"/>
      <c r="H755" s="66"/>
      <c r="I755" s="66"/>
      <c r="J755" s="66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  <c r="AA755" s="66"/>
      <c r="AB755" s="66"/>
      <c r="AC755" s="66"/>
      <c r="AD755" s="66"/>
    </row>
    <row r="756">
      <c r="A756" s="131"/>
      <c r="B756" s="75"/>
      <c r="C756" s="75"/>
      <c r="D756" s="75"/>
      <c r="E756" s="66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  <c r="AA756" s="66"/>
      <c r="AB756" s="66"/>
      <c r="AC756" s="66"/>
      <c r="AD756" s="66"/>
    </row>
    <row r="757">
      <c r="A757" s="131"/>
      <c r="B757" s="75"/>
      <c r="C757" s="75"/>
      <c r="D757" s="75"/>
      <c r="E757" s="66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  <c r="AA757" s="66"/>
      <c r="AB757" s="66"/>
      <c r="AC757" s="66"/>
      <c r="AD757" s="66"/>
    </row>
    <row r="758">
      <c r="A758" s="131"/>
      <c r="B758" s="75"/>
      <c r="C758" s="75"/>
      <c r="D758" s="75"/>
      <c r="E758" s="66"/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  <c r="AA758" s="66"/>
      <c r="AB758" s="66"/>
      <c r="AC758" s="66"/>
      <c r="AD758" s="66"/>
    </row>
    <row r="759">
      <c r="A759" s="131"/>
      <c r="B759" s="75"/>
      <c r="C759" s="75"/>
      <c r="D759" s="75"/>
      <c r="E759" s="66"/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  <c r="AA759" s="66"/>
      <c r="AB759" s="66"/>
      <c r="AC759" s="66"/>
      <c r="AD759" s="66"/>
    </row>
    <row r="760">
      <c r="A760" s="131"/>
      <c r="B760" s="75"/>
      <c r="C760" s="75"/>
      <c r="D760" s="75"/>
      <c r="E760" s="66"/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  <c r="AA760" s="66"/>
      <c r="AB760" s="66"/>
      <c r="AC760" s="66"/>
      <c r="AD760" s="66"/>
    </row>
    <row r="761">
      <c r="A761" s="131"/>
      <c r="B761" s="75"/>
      <c r="C761" s="75"/>
      <c r="D761" s="75"/>
      <c r="E761" s="66"/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  <c r="AA761" s="66"/>
      <c r="AB761" s="66"/>
      <c r="AC761" s="66"/>
      <c r="AD761" s="66"/>
    </row>
    <row r="762">
      <c r="A762" s="131"/>
      <c r="B762" s="75"/>
      <c r="C762" s="75"/>
      <c r="D762" s="75"/>
      <c r="E762" s="66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  <c r="AA762" s="66"/>
      <c r="AB762" s="66"/>
      <c r="AC762" s="66"/>
      <c r="AD762" s="66"/>
    </row>
    <row r="763">
      <c r="A763" s="131"/>
      <c r="B763" s="75"/>
      <c r="C763" s="75"/>
      <c r="D763" s="75"/>
      <c r="E763" s="66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  <c r="AA763" s="66"/>
      <c r="AB763" s="66"/>
      <c r="AC763" s="66"/>
      <c r="AD763" s="66"/>
    </row>
    <row r="764">
      <c r="A764" s="131"/>
      <c r="B764" s="75"/>
      <c r="C764" s="75"/>
      <c r="D764" s="75"/>
      <c r="E764" s="66"/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  <c r="AA764" s="66"/>
      <c r="AB764" s="66"/>
      <c r="AC764" s="66"/>
      <c r="AD764" s="66"/>
    </row>
    <row r="765">
      <c r="A765" s="131"/>
      <c r="B765" s="75"/>
      <c r="C765" s="75"/>
      <c r="D765" s="75"/>
      <c r="E765" s="66"/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  <c r="AA765" s="66"/>
      <c r="AB765" s="66"/>
      <c r="AC765" s="66"/>
      <c r="AD765" s="66"/>
    </row>
    <row r="766">
      <c r="A766" s="131"/>
      <c r="B766" s="75"/>
      <c r="C766" s="75"/>
      <c r="D766" s="75"/>
      <c r="E766" s="66"/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  <c r="AA766" s="66"/>
      <c r="AB766" s="66"/>
      <c r="AC766" s="66"/>
      <c r="AD766" s="66"/>
    </row>
    <row r="767">
      <c r="A767" s="131"/>
      <c r="B767" s="75"/>
      <c r="C767" s="75"/>
      <c r="D767" s="75"/>
      <c r="E767" s="66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  <c r="AA767" s="66"/>
      <c r="AB767" s="66"/>
      <c r="AC767" s="66"/>
      <c r="AD767" s="66"/>
    </row>
    <row r="768">
      <c r="A768" s="131"/>
      <c r="B768" s="75"/>
      <c r="C768" s="75"/>
      <c r="D768" s="75"/>
      <c r="E768" s="66"/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  <c r="AA768" s="66"/>
      <c r="AB768" s="66"/>
      <c r="AC768" s="66"/>
      <c r="AD768" s="66"/>
    </row>
    <row r="769">
      <c r="A769" s="131"/>
      <c r="B769" s="75"/>
      <c r="C769" s="75"/>
      <c r="D769" s="75"/>
      <c r="E769" s="66"/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  <c r="AA769" s="66"/>
      <c r="AB769" s="66"/>
      <c r="AC769" s="66"/>
      <c r="AD769" s="66"/>
    </row>
    <row r="770">
      <c r="A770" s="131"/>
      <c r="B770" s="75"/>
      <c r="C770" s="75"/>
      <c r="D770" s="75"/>
      <c r="E770" s="66"/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  <c r="AA770" s="66"/>
      <c r="AB770" s="66"/>
      <c r="AC770" s="66"/>
      <c r="AD770" s="66"/>
    </row>
    <row r="771">
      <c r="A771" s="131"/>
      <c r="B771" s="75"/>
      <c r="C771" s="75"/>
      <c r="D771" s="75"/>
      <c r="E771" s="66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  <c r="AA771" s="66"/>
      <c r="AB771" s="66"/>
      <c r="AC771" s="66"/>
      <c r="AD771" s="66"/>
    </row>
    <row r="772">
      <c r="A772" s="131"/>
      <c r="B772" s="75"/>
      <c r="C772" s="75"/>
      <c r="D772" s="75"/>
      <c r="E772" s="66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  <c r="AA772" s="66"/>
      <c r="AB772" s="66"/>
      <c r="AC772" s="66"/>
      <c r="AD772" s="66"/>
    </row>
    <row r="773">
      <c r="A773" s="131"/>
      <c r="B773" s="75"/>
      <c r="C773" s="75"/>
      <c r="D773" s="75"/>
      <c r="E773" s="66"/>
      <c r="F773" s="66"/>
      <c r="G773" s="66"/>
      <c r="H773" s="66"/>
      <c r="I773" s="66"/>
      <c r="J773" s="66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  <c r="AA773" s="66"/>
      <c r="AB773" s="66"/>
      <c r="AC773" s="66"/>
      <c r="AD773" s="66"/>
    </row>
    <row r="774">
      <c r="A774" s="131"/>
      <c r="B774" s="75"/>
      <c r="C774" s="75"/>
      <c r="D774" s="75"/>
      <c r="E774" s="66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  <c r="AA774" s="66"/>
      <c r="AB774" s="66"/>
      <c r="AC774" s="66"/>
      <c r="AD774" s="66"/>
    </row>
    <row r="775">
      <c r="A775" s="131"/>
      <c r="B775" s="75"/>
      <c r="C775" s="75"/>
      <c r="D775" s="75"/>
      <c r="E775" s="66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  <c r="AA775" s="66"/>
      <c r="AB775" s="66"/>
      <c r="AC775" s="66"/>
      <c r="AD775" s="66"/>
    </row>
    <row r="776">
      <c r="A776" s="131"/>
      <c r="B776" s="75"/>
      <c r="C776" s="75"/>
      <c r="D776" s="75"/>
      <c r="E776" s="66"/>
      <c r="F776" s="66"/>
      <c r="G776" s="66"/>
      <c r="H776" s="66"/>
      <c r="I776" s="66"/>
      <c r="J776" s="66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  <c r="AA776" s="66"/>
      <c r="AB776" s="66"/>
      <c r="AC776" s="66"/>
      <c r="AD776" s="66"/>
    </row>
    <row r="777">
      <c r="A777" s="131"/>
      <c r="B777" s="75"/>
      <c r="C777" s="75"/>
      <c r="D777" s="75"/>
      <c r="E777" s="66"/>
      <c r="F777" s="66"/>
      <c r="G777" s="66"/>
      <c r="H777" s="66"/>
      <c r="I777" s="66"/>
      <c r="J777" s="66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  <c r="AA777" s="66"/>
      <c r="AB777" s="66"/>
      <c r="AC777" s="66"/>
      <c r="AD777" s="66"/>
    </row>
    <row r="778">
      <c r="A778" s="131"/>
      <c r="B778" s="75"/>
      <c r="C778" s="75"/>
      <c r="D778" s="75"/>
      <c r="E778" s="66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  <c r="AA778" s="66"/>
      <c r="AB778" s="66"/>
      <c r="AC778" s="66"/>
      <c r="AD778" s="66"/>
    </row>
    <row r="779">
      <c r="A779" s="131"/>
      <c r="B779" s="75"/>
      <c r="C779" s="75"/>
      <c r="D779" s="75"/>
      <c r="E779" s="66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  <c r="AA779" s="66"/>
      <c r="AB779" s="66"/>
      <c r="AC779" s="66"/>
      <c r="AD779" s="66"/>
    </row>
    <row r="780">
      <c r="A780" s="131"/>
      <c r="B780" s="75"/>
      <c r="C780" s="75"/>
      <c r="D780" s="75"/>
      <c r="E780" s="66"/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  <c r="AA780" s="66"/>
      <c r="AB780" s="66"/>
      <c r="AC780" s="66"/>
      <c r="AD780" s="66"/>
    </row>
    <row r="781">
      <c r="A781" s="131"/>
      <c r="B781" s="75"/>
      <c r="C781" s="75"/>
      <c r="D781" s="75"/>
      <c r="E781" s="66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  <c r="AA781" s="66"/>
      <c r="AB781" s="66"/>
      <c r="AC781" s="66"/>
      <c r="AD781" s="66"/>
    </row>
    <row r="782">
      <c r="A782" s="131"/>
      <c r="B782" s="75"/>
      <c r="C782" s="75"/>
      <c r="D782" s="75"/>
      <c r="E782" s="66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  <c r="AA782" s="66"/>
      <c r="AB782" s="66"/>
      <c r="AC782" s="66"/>
      <c r="AD782" s="66"/>
    </row>
    <row r="783">
      <c r="A783" s="131"/>
      <c r="B783" s="75"/>
      <c r="C783" s="75"/>
      <c r="D783" s="75"/>
      <c r="E783" s="66"/>
      <c r="F783" s="66"/>
      <c r="G783" s="66"/>
      <c r="H783" s="66"/>
      <c r="I783" s="66"/>
      <c r="J783" s="66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  <c r="AA783" s="66"/>
      <c r="AB783" s="66"/>
      <c r="AC783" s="66"/>
      <c r="AD783" s="66"/>
    </row>
    <row r="784">
      <c r="A784" s="131"/>
      <c r="B784" s="75"/>
      <c r="C784" s="75"/>
      <c r="D784" s="75"/>
      <c r="E784" s="66"/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  <c r="AA784" s="66"/>
      <c r="AB784" s="66"/>
      <c r="AC784" s="66"/>
      <c r="AD784" s="66"/>
    </row>
    <row r="785">
      <c r="A785" s="131"/>
      <c r="B785" s="75"/>
      <c r="C785" s="75"/>
      <c r="D785" s="75"/>
      <c r="E785" s="66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  <c r="AA785" s="66"/>
      <c r="AB785" s="66"/>
      <c r="AC785" s="66"/>
      <c r="AD785" s="66"/>
    </row>
    <row r="786">
      <c r="A786" s="131"/>
      <c r="B786" s="75"/>
      <c r="C786" s="75"/>
      <c r="D786" s="75"/>
      <c r="E786" s="66"/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  <c r="AA786" s="66"/>
      <c r="AB786" s="66"/>
      <c r="AC786" s="66"/>
      <c r="AD786" s="66"/>
    </row>
    <row r="787">
      <c r="A787" s="131"/>
      <c r="B787" s="75"/>
      <c r="C787" s="75"/>
      <c r="D787" s="75"/>
      <c r="E787" s="66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  <c r="AA787" s="66"/>
      <c r="AB787" s="66"/>
      <c r="AC787" s="66"/>
      <c r="AD787" s="66"/>
    </row>
    <row r="788">
      <c r="A788" s="131"/>
      <c r="B788" s="75"/>
      <c r="C788" s="75"/>
      <c r="D788" s="75"/>
      <c r="E788" s="66"/>
      <c r="F788" s="66"/>
      <c r="G788" s="66"/>
      <c r="H788" s="66"/>
      <c r="I788" s="66"/>
      <c r="J788" s="66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  <c r="AA788" s="66"/>
      <c r="AB788" s="66"/>
      <c r="AC788" s="66"/>
      <c r="AD788" s="66"/>
    </row>
    <row r="789">
      <c r="A789" s="131"/>
      <c r="B789" s="75"/>
      <c r="C789" s="75"/>
      <c r="D789" s="75"/>
      <c r="E789" s="66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  <c r="AA789" s="66"/>
      <c r="AB789" s="66"/>
      <c r="AC789" s="66"/>
      <c r="AD789" s="66"/>
    </row>
    <row r="790">
      <c r="A790" s="131"/>
      <c r="B790" s="75"/>
      <c r="C790" s="75"/>
      <c r="D790" s="75"/>
      <c r="E790" s="66"/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  <c r="AA790" s="66"/>
      <c r="AB790" s="66"/>
      <c r="AC790" s="66"/>
      <c r="AD790" s="66"/>
    </row>
    <row r="791">
      <c r="A791" s="131"/>
      <c r="B791" s="75"/>
      <c r="C791" s="75"/>
      <c r="D791" s="75"/>
      <c r="E791" s="66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  <c r="AA791" s="66"/>
      <c r="AB791" s="66"/>
      <c r="AC791" s="66"/>
      <c r="AD791" s="66"/>
    </row>
    <row r="792">
      <c r="A792" s="131"/>
      <c r="B792" s="75"/>
      <c r="C792" s="75"/>
      <c r="D792" s="75"/>
      <c r="E792" s="66"/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  <c r="AA792" s="66"/>
      <c r="AB792" s="66"/>
      <c r="AC792" s="66"/>
      <c r="AD792" s="66"/>
    </row>
    <row r="793">
      <c r="A793" s="131"/>
      <c r="B793" s="75"/>
      <c r="C793" s="75"/>
      <c r="D793" s="75"/>
      <c r="E793" s="66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  <c r="AA793" s="66"/>
      <c r="AB793" s="66"/>
      <c r="AC793" s="66"/>
      <c r="AD793" s="66"/>
    </row>
    <row r="794">
      <c r="A794" s="131"/>
      <c r="B794" s="75"/>
      <c r="C794" s="75"/>
      <c r="D794" s="75"/>
      <c r="E794" s="66"/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  <c r="AA794" s="66"/>
      <c r="AB794" s="66"/>
      <c r="AC794" s="66"/>
      <c r="AD794" s="66"/>
    </row>
    <row r="795">
      <c r="A795" s="131"/>
      <c r="B795" s="75"/>
      <c r="C795" s="75"/>
      <c r="D795" s="75"/>
      <c r="E795" s="66"/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  <c r="AA795" s="66"/>
      <c r="AB795" s="66"/>
      <c r="AC795" s="66"/>
      <c r="AD795" s="66"/>
    </row>
    <row r="796">
      <c r="A796" s="131"/>
      <c r="B796" s="75"/>
      <c r="C796" s="75"/>
      <c r="D796" s="75"/>
      <c r="E796" s="66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  <c r="AA796" s="66"/>
      <c r="AB796" s="66"/>
      <c r="AC796" s="66"/>
      <c r="AD796" s="66"/>
    </row>
    <row r="797">
      <c r="A797" s="131"/>
      <c r="B797" s="75"/>
      <c r="C797" s="75"/>
      <c r="D797" s="75"/>
      <c r="E797" s="66"/>
      <c r="F797" s="66"/>
      <c r="G797" s="66"/>
      <c r="H797" s="66"/>
      <c r="I797" s="66"/>
      <c r="J797" s="66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  <c r="AA797" s="66"/>
      <c r="AB797" s="66"/>
      <c r="AC797" s="66"/>
      <c r="AD797" s="66"/>
    </row>
    <row r="798">
      <c r="A798" s="131"/>
      <c r="B798" s="75"/>
      <c r="C798" s="75"/>
      <c r="D798" s="75"/>
      <c r="E798" s="66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  <c r="AA798" s="66"/>
      <c r="AB798" s="66"/>
      <c r="AC798" s="66"/>
      <c r="AD798" s="66"/>
    </row>
    <row r="799">
      <c r="A799" s="131"/>
      <c r="B799" s="75"/>
      <c r="C799" s="75"/>
      <c r="D799" s="75"/>
      <c r="E799" s="66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  <c r="AA799" s="66"/>
      <c r="AB799" s="66"/>
      <c r="AC799" s="66"/>
      <c r="AD799" s="66"/>
    </row>
    <row r="800">
      <c r="A800" s="131"/>
      <c r="B800" s="75"/>
      <c r="C800" s="75"/>
      <c r="D800" s="75"/>
      <c r="E800" s="66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  <c r="AA800" s="66"/>
      <c r="AB800" s="66"/>
      <c r="AC800" s="66"/>
      <c r="AD800" s="66"/>
    </row>
    <row r="801">
      <c r="A801" s="131"/>
      <c r="B801" s="75"/>
      <c r="C801" s="75"/>
      <c r="D801" s="75"/>
      <c r="E801" s="66"/>
      <c r="F801" s="66"/>
      <c r="G801" s="66"/>
      <c r="H801" s="66"/>
      <c r="I801" s="66"/>
      <c r="J801" s="66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  <c r="AA801" s="66"/>
      <c r="AB801" s="66"/>
      <c r="AC801" s="66"/>
      <c r="AD801" s="66"/>
    </row>
    <row r="802">
      <c r="A802" s="131"/>
      <c r="B802" s="75"/>
      <c r="C802" s="75"/>
      <c r="D802" s="75"/>
      <c r="E802" s="66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  <c r="AA802" s="66"/>
      <c r="AB802" s="66"/>
      <c r="AC802" s="66"/>
      <c r="AD802" s="66"/>
    </row>
    <row r="803">
      <c r="A803" s="131"/>
      <c r="B803" s="75"/>
      <c r="C803" s="75"/>
      <c r="D803" s="75"/>
      <c r="E803" s="66"/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  <c r="AA803" s="66"/>
      <c r="AB803" s="66"/>
      <c r="AC803" s="66"/>
      <c r="AD803" s="66"/>
    </row>
    <row r="804">
      <c r="A804" s="131"/>
      <c r="B804" s="75"/>
      <c r="C804" s="75"/>
      <c r="D804" s="75"/>
      <c r="E804" s="66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  <c r="AA804" s="66"/>
      <c r="AB804" s="66"/>
      <c r="AC804" s="66"/>
      <c r="AD804" s="66"/>
    </row>
    <row r="805">
      <c r="A805" s="131"/>
      <c r="B805" s="75"/>
      <c r="C805" s="75"/>
      <c r="D805" s="75"/>
      <c r="E805" s="66"/>
      <c r="F805" s="66"/>
      <c r="G805" s="66"/>
      <c r="H805" s="66"/>
      <c r="I805" s="66"/>
      <c r="J805" s="66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  <c r="AA805" s="66"/>
      <c r="AB805" s="66"/>
      <c r="AC805" s="66"/>
      <c r="AD805" s="66"/>
    </row>
    <row r="806">
      <c r="A806" s="131"/>
      <c r="B806" s="75"/>
      <c r="C806" s="75"/>
      <c r="D806" s="75"/>
      <c r="E806" s="66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  <c r="AA806" s="66"/>
      <c r="AB806" s="66"/>
      <c r="AC806" s="66"/>
      <c r="AD806" s="66"/>
    </row>
    <row r="807">
      <c r="A807" s="131"/>
      <c r="B807" s="75"/>
      <c r="C807" s="75"/>
      <c r="D807" s="75"/>
      <c r="E807" s="66"/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  <c r="AA807" s="66"/>
      <c r="AB807" s="66"/>
      <c r="AC807" s="66"/>
      <c r="AD807" s="66"/>
    </row>
    <row r="808">
      <c r="A808" s="131"/>
      <c r="B808" s="75"/>
      <c r="C808" s="75"/>
      <c r="D808" s="75"/>
      <c r="E808" s="66"/>
      <c r="F808" s="66"/>
      <c r="G808" s="66"/>
      <c r="H808" s="66"/>
      <c r="I808" s="66"/>
      <c r="J808" s="66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  <c r="AA808" s="66"/>
      <c r="AB808" s="66"/>
      <c r="AC808" s="66"/>
      <c r="AD808" s="66"/>
    </row>
    <row r="809">
      <c r="A809" s="131"/>
      <c r="B809" s="75"/>
      <c r="C809" s="75"/>
      <c r="D809" s="75"/>
      <c r="E809" s="66"/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  <c r="AA809" s="66"/>
      <c r="AB809" s="66"/>
      <c r="AC809" s="66"/>
      <c r="AD809" s="66"/>
    </row>
    <row r="810">
      <c r="A810" s="131"/>
      <c r="B810" s="75"/>
      <c r="C810" s="75"/>
      <c r="D810" s="75"/>
      <c r="E810" s="66"/>
      <c r="F810" s="66"/>
      <c r="G810" s="66"/>
      <c r="H810" s="66"/>
      <c r="I810" s="66"/>
      <c r="J810" s="66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  <c r="AA810" s="66"/>
      <c r="AB810" s="66"/>
      <c r="AC810" s="66"/>
      <c r="AD810" s="66"/>
    </row>
    <row r="811">
      <c r="A811" s="131"/>
      <c r="B811" s="75"/>
      <c r="C811" s="75"/>
      <c r="D811" s="75"/>
      <c r="E811" s="66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  <c r="AA811" s="66"/>
      <c r="AB811" s="66"/>
      <c r="AC811" s="66"/>
      <c r="AD811" s="66"/>
    </row>
    <row r="812">
      <c r="A812" s="131"/>
      <c r="B812" s="75"/>
      <c r="C812" s="75"/>
      <c r="D812" s="75"/>
      <c r="E812" s="66"/>
      <c r="F812" s="66"/>
      <c r="G812" s="66"/>
      <c r="H812" s="66"/>
      <c r="I812" s="66"/>
      <c r="J812" s="66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  <c r="AA812" s="66"/>
      <c r="AB812" s="66"/>
      <c r="AC812" s="66"/>
      <c r="AD812" s="66"/>
    </row>
    <row r="813">
      <c r="A813" s="131"/>
      <c r="B813" s="75"/>
      <c r="C813" s="75"/>
      <c r="D813" s="75"/>
      <c r="E813" s="66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  <c r="AA813" s="66"/>
      <c r="AB813" s="66"/>
      <c r="AC813" s="66"/>
      <c r="AD813" s="66"/>
    </row>
    <row r="814">
      <c r="A814" s="131"/>
      <c r="B814" s="75"/>
      <c r="C814" s="75"/>
      <c r="D814" s="75"/>
      <c r="E814" s="66"/>
      <c r="F814" s="66"/>
      <c r="G814" s="66"/>
      <c r="H814" s="66"/>
      <c r="I814" s="66"/>
      <c r="J814" s="66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  <c r="AA814" s="66"/>
      <c r="AB814" s="66"/>
      <c r="AC814" s="66"/>
      <c r="AD814" s="66"/>
    </row>
    <row r="815">
      <c r="A815" s="131"/>
      <c r="B815" s="75"/>
      <c r="C815" s="75"/>
      <c r="D815" s="75"/>
      <c r="E815" s="66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  <c r="AA815" s="66"/>
      <c r="AB815" s="66"/>
      <c r="AC815" s="66"/>
      <c r="AD815" s="66"/>
    </row>
    <row r="816">
      <c r="A816" s="131"/>
      <c r="B816" s="75"/>
      <c r="C816" s="75"/>
      <c r="D816" s="75"/>
      <c r="E816" s="66"/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  <c r="AA816" s="66"/>
      <c r="AB816" s="66"/>
      <c r="AC816" s="66"/>
      <c r="AD816" s="66"/>
    </row>
    <row r="817">
      <c r="A817" s="131"/>
      <c r="B817" s="75"/>
      <c r="C817" s="75"/>
      <c r="D817" s="75"/>
      <c r="E817" s="66"/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  <c r="AA817" s="66"/>
      <c r="AB817" s="66"/>
      <c r="AC817" s="66"/>
      <c r="AD817" s="66"/>
    </row>
    <row r="818">
      <c r="A818" s="131"/>
      <c r="B818" s="75"/>
      <c r="C818" s="75"/>
      <c r="D818" s="75"/>
      <c r="E818" s="66"/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  <c r="AA818" s="66"/>
      <c r="AB818" s="66"/>
      <c r="AC818" s="66"/>
      <c r="AD818" s="66"/>
    </row>
    <row r="819">
      <c r="A819" s="131"/>
      <c r="B819" s="75"/>
      <c r="C819" s="75"/>
      <c r="D819" s="75"/>
      <c r="E819" s="66"/>
      <c r="F819" s="66"/>
      <c r="G819" s="66"/>
      <c r="H819" s="66"/>
      <c r="I819" s="66"/>
      <c r="J819" s="66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  <c r="AA819" s="66"/>
      <c r="AB819" s="66"/>
      <c r="AC819" s="66"/>
      <c r="AD819" s="66"/>
    </row>
    <row r="820">
      <c r="A820" s="131"/>
      <c r="B820" s="75"/>
      <c r="C820" s="75"/>
      <c r="D820" s="75"/>
      <c r="E820" s="66"/>
      <c r="F820" s="66"/>
      <c r="G820" s="66"/>
      <c r="H820" s="66"/>
      <c r="I820" s="66"/>
      <c r="J820" s="66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  <c r="AA820" s="66"/>
      <c r="AB820" s="66"/>
      <c r="AC820" s="66"/>
      <c r="AD820" s="66"/>
    </row>
    <row r="821">
      <c r="A821" s="131"/>
      <c r="B821" s="75"/>
      <c r="C821" s="75"/>
      <c r="D821" s="75"/>
      <c r="E821" s="66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  <c r="AA821" s="66"/>
      <c r="AB821" s="66"/>
      <c r="AC821" s="66"/>
      <c r="AD821" s="66"/>
    </row>
    <row r="822">
      <c r="A822" s="131"/>
      <c r="B822" s="75"/>
      <c r="C822" s="75"/>
      <c r="D822" s="75"/>
      <c r="E822" s="66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  <c r="AA822" s="66"/>
      <c r="AB822" s="66"/>
      <c r="AC822" s="66"/>
      <c r="AD822" s="66"/>
    </row>
    <row r="823">
      <c r="A823" s="131"/>
      <c r="B823" s="75"/>
      <c r="C823" s="75"/>
      <c r="D823" s="75"/>
      <c r="E823" s="66"/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  <c r="AA823" s="66"/>
      <c r="AB823" s="66"/>
      <c r="AC823" s="66"/>
      <c r="AD823" s="66"/>
    </row>
    <row r="824">
      <c r="A824" s="131"/>
      <c r="B824" s="75"/>
      <c r="C824" s="75"/>
      <c r="D824" s="75"/>
      <c r="E824" s="66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  <c r="AA824" s="66"/>
      <c r="AB824" s="66"/>
      <c r="AC824" s="66"/>
      <c r="AD824" s="66"/>
    </row>
    <row r="825">
      <c r="A825" s="131"/>
      <c r="B825" s="75"/>
      <c r="C825" s="75"/>
      <c r="D825" s="75"/>
      <c r="E825" s="66"/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  <c r="AA825" s="66"/>
      <c r="AB825" s="66"/>
      <c r="AC825" s="66"/>
      <c r="AD825" s="66"/>
    </row>
    <row r="826">
      <c r="A826" s="131"/>
      <c r="B826" s="75"/>
      <c r="C826" s="75"/>
      <c r="D826" s="75"/>
      <c r="E826" s="66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  <c r="AA826" s="66"/>
      <c r="AB826" s="66"/>
      <c r="AC826" s="66"/>
      <c r="AD826" s="66"/>
    </row>
    <row r="827">
      <c r="A827" s="131"/>
      <c r="B827" s="75"/>
      <c r="C827" s="75"/>
      <c r="D827" s="75"/>
      <c r="E827" s="66"/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  <c r="AA827" s="66"/>
      <c r="AB827" s="66"/>
      <c r="AC827" s="66"/>
      <c r="AD827" s="66"/>
    </row>
    <row r="828">
      <c r="A828" s="131"/>
      <c r="B828" s="75"/>
      <c r="C828" s="75"/>
      <c r="D828" s="75"/>
      <c r="E828" s="66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  <c r="AA828" s="66"/>
      <c r="AB828" s="66"/>
      <c r="AC828" s="66"/>
      <c r="AD828" s="66"/>
    </row>
    <row r="829">
      <c r="A829" s="131"/>
      <c r="B829" s="75"/>
      <c r="C829" s="75"/>
      <c r="D829" s="75"/>
      <c r="E829" s="66"/>
      <c r="F829" s="66"/>
      <c r="G829" s="66"/>
      <c r="H829" s="66"/>
      <c r="I829" s="66"/>
      <c r="J829" s="66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  <c r="AA829" s="66"/>
      <c r="AB829" s="66"/>
      <c r="AC829" s="66"/>
      <c r="AD829" s="66"/>
    </row>
    <row r="830">
      <c r="A830" s="131"/>
      <c r="B830" s="75"/>
      <c r="C830" s="75"/>
      <c r="D830" s="75"/>
      <c r="E830" s="66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  <c r="AA830" s="66"/>
      <c r="AB830" s="66"/>
      <c r="AC830" s="66"/>
      <c r="AD830" s="66"/>
    </row>
    <row r="831">
      <c r="A831" s="131"/>
      <c r="B831" s="75"/>
      <c r="C831" s="75"/>
      <c r="D831" s="75"/>
      <c r="E831" s="66"/>
      <c r="F831" s="66"/>
      <c r="G831" s="66"/>
      <c r="H831" s="66"/>
      <c r="I831" s="66"/>
      <c r="J831" s="66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  <c r="AA831" s="66"/>
      <c r="AB831" s="66"/>
      <c r="AC831" s="66"/>
      <c r="AD831" s="66"/>
    </row>
    <row r="832">
      <c r="A832" s="131"/>
      <c r="B832" s="75"/>
      <c r="C832" s="75"/>
      <c r="D832" s="75"/>
      <c r="E832" s="66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  <c r="AA832" s="66"/>
      <c r="AB832" s="66"/>
      <c r="AC832" s="66"/>
      <c r="AD832" s="66"/>
    </row>
    <row r="833">
      <c r="A833" s="131"/>
      <c r="B833" s="75"/>
      <c r="C833" s="75"/>
      <c r="D833" s="75"/>
      <c r="E833" s="66"/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  <c r="AA833" s="66"/>
      <c r="AB833" s="66"/>
      <c r="AC833" s="66"/>
      <c r="AD833" s="66"/>
    </row>
    <row r="834">
      <c r="A834" s="131"/>
      <c r="B834" s="75"/>
      <c r="C834" s="75"/>
      <c r="D834" s="75"/>
      <c r="E834" s="66"/>
      <c r="F834" s="66"/>
      <c r="G834" s="66"/>
      <c r="H834" s="66"/>
      <c r="I834" s="66"/>
      <c r="J834" s="66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  <c r="AA834" s="66"/>
      <c r="AB834" s="66"/>
      <c r="AC834" s="66"/>
      <c r="AD834" s="66"/>
    </row>
    <row r="835">
      <c r="A835" s="131"/>
      <c r="B835" s="75"/>
      <c r="C835" s="75"/>
      <c r="D835" s="75"/>
      <c r="E835" s="66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  <c r="AA835" s="66"/>
      <c r="AB835" s="66"/>
      <c r="AC835" s="66"/>
      <c r="AD835" s="66"/>
    </row>
    <row r="836">
      <c r="A836" s="131"/>
      <c r="B836" s="75"/>
      <c r="C836" s="75"/>
      <c r="D836" s="75"/>
      <c r="E836" s="66"/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  <c r="AA836" s="66"/>
      <c r="AB836" s="66"/>
      <c r="AC836" s="66"/>
      <c r="AD836" s="66"/>
    </row>
    <row r="837">
      <c r="A837" s="131"/>
      <c r="B837" s="75"/>
      <c r="C837" s="75"/>
      <c r="D837" s="75"/>
      <c r="E837" s="66"/>
      <c r="F837" s="66"/>
      <c r="G837" s="66"/>
      <c r="H837" s="66"/>
      <c r="I837" s="66"/>
      <c r="J837" s="66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  <c r="AA837" s="66"/>
      <c r="AB837" s="66"/>
      <c r="AC837" s="66"/>
      <c r="AD837" s="66"/>
    </row>
    <row r="838">
      <c r="A838" s="131"/>
      <c r="B838" s="75"/>
      <c r="C838" s="75"/>
      <c r="D838" s="75"/>
      <c r="E838" s="66"/>
      <c r="F838" s="66"/>
      <c r="G838" s="66"/>
      <c r="H838" s="66"/>
      <c r="I838" s="66"/>
      <c r="J838" s="66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  <c r="AA838" s="66"/>
      <c r="AB838" s="66"/>
      <c r="AC838" s="66"/>
      <c r="AD838" s="66"/>
    </row>
    <row r="839">
      <c r="A839" s="131"/>
      <c r="B839" s="75"/>
      <c r="C839" s="75"/>
      <c r="D839" s="75"/>
      <c r="E839" s="66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  <c r="AA839" s="66"/>
      <c r="AB839" s="66"/>
      <c r="AC839" s="66"/>
      <c r="AD839" s="66"/>
    </row>
    <row r="840">
      <c r="A840" s="131"/>
      <c r="B840" s="75"/>
      <c r="C840" s="75"/>
      <c r="D840" s="75"/>
      <c r="E840" s="66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  <c r="AA840" s="66"/>
      <c r="AB840" s="66"/>
      <c r="AC840" s="66"/>
      <c r="AD840" s="66"/>
    </row>
    <row r="841">
      <c r="A841" s="131"/>
      <c r="B841" s="75"/>
      <c r="C841" s="75"/>
      <c r="D841" s="75"/>
      <c r="E841" s="66"/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  <c r="AA841" s="66"/>
      <c r="AB841" s="66"/>
      <c r="AC841" s="66"/>
      <c r="AD841" s="66"/>
    </row>
    <row r="842">
      <c r="A842" s="131"/>
      <c r="B842" s="75"/>
      <c r="C842" s="75"/>
      <c r="D842" s="75"/>
      <c r="E842" s="66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  <c r="AA842" s="66"/>
      <c r="AB842" s="66"/>
      <c r="AC842" s="66"/>
      <c r="AD842" s="66"/>
    </row>
    <row r="843">
      <c r="A843" s="131"/>
      <c r="B843" s="75"/>
      <c r="C843" s="75"/>
      <c r="D843" s="75"/>
      <c r="E843" s="66"/>
      <c r="F843" s="66"/>
      <c r="G843" s="66"/>
      <c r="H843" s="66"/>
      <c r="I843" s="66"/>
      <c r="J843" s="66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  <c r="AA843" s="66"/>
      <c r="AB843" s="66"/>
      <c r="AC843" s="66"/>
      <c r="AD843" s="66"/>
    </row>
    <row r="844">
      <c r="A844" s="131"/>
      <c r="B844" s="75"/>
      <c r="C844" s="75"/>
      <c r="D844" s="75"/>
      <c r="E844" s="66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  <c r="AA844" s="66"/>
      <c r="AB844" s="66"/>
      <c r="AC844" s="66"/>
      <c r="AD844" s="66"/>
    </row>
    <row r="845">
      <c r="A845" s="131"/>
      <c r="B845" s="75"/>
      <c r="C845" s="75"/>
      <c r="D845" s="75"/>
      <c r="E845" s="66"/>
      <c r="F845" s="66"/>
      <c r="G845" s="66"/>
      <c r="H845" s="66"/>
      <c r="I845" s="66"/>
      <c r="J845" s="66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  <c r="AA845" s="66"/>
      <c r="AB845" s="66"/>
      <c r="AC845" s="66"/>
      <c r="AD845" s="66"/>
    </row>
    <row r="846">
      <c r="A846" s="131"/>
      <c r="B846" s="75"/>
      <c r="C846" s="75"/>
      <c r="D846" s="75"/>
      <c r="E846" s="66"/>
      <c r="F846" s="66"/>
      <c r="G846" s="66"/>
      <c r="H846" s="66"/>
      <c r="I846" s="66"/>
      <c r="J846" s="66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  <c r="AA846" s="66"/>
      <c r="AB846" s="66"/>
      <c r="AC846" s="66"/>
      <c r="AD846" s="66"/>
    </row>
    <row r="847">
      <c r="A847" s="131"/>
      <c r="B847" s="75"/>
      <c r="C847" s="75"/>
      <c r="D847" s="75"/>
      <c r="E847" s="66"/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  <c r="AA847" s="66"/>
      <c r="AB847" s="66"/>
      <c r="AC847" s="66"/>
      <c r="AD847" s="66"/>
    </row>
    <row r="848">
      <c r="A848" s="131"/>
      <c r="B848" s="75"/>
      <c r="C848" s="75"/>
      <c r="D848" s="75"/>
      <c r="E848" s="66"/>
      <c r="F848" s="66"/>
      <c r="G848" s="66"/>
      <c r="H848" s="66"/>
      <c r="I848" s="66"/>
      <c r="J848" s="66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  <c r="AA848" s="66"/>
      <c r="AB848" s="66"/>
      <c r="AC848" s="66"/>
      <c r="AD848" s="66"/>
    </row>
    <row r="849">
      <c r="A849" s="131"/>
      <c r="B849" s="75"/>
      <c r="C849" s="75"/>
      <c r="D849" s="75"/>
      <c r="E849" s="66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  <c r="AA849" s="66"/>
      <c r="AB849" s="66"/>
      <c r="AC849" s="66"/>
      <c r="AD849" s="66"/>
    </row>
    <row r="850">
      <c r="A850" s="131"/>
      <c r="B850" s="75"/>
      <c r="C850" s="75"/>
      <c r="D850" s="75"/>
      <c r="E850" s="66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  <c r="AA850" s="66"/>
      <c r="AB850" s="66"/>
      <c r="AC850" s="66"/>
      <c r="AD850" s="66"/>
    </row>
    <row r="851">
      <c r="A851" s="131"/>
      <c r="B851" s="75"/>
      <c r="C851" s="75"/>
      <c r="D851" s="75"/>
      <c r="E851" s="66"/>
      <c r="F851" s="66"/>
      <c r="G851" s="66"/>
      <c r="H851" s="66"/>
      <c r="I851" s="66"/>
      <c r="J851" s="66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  <c r="AA851" s="66"/>
      <c r="AB851" s="66"/>
      <c r="AC851" s="66"/>
      <c r="AD851" s="66"/>
    </row>
    <row r="852">
      <c r="A852" s="131"/>
      <c r="B852" s="75"/>
      <c r="C852" s="75"/>
      <c r="D852" s="75"/>
      <c r="E852" s="66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66"/>
      <c r="AD852" s="66"/>
    </row>
    <row r="853">
      <c r="A853" s="131"/>
      <c r="B853" s="75"/>
      <c r="C853" s="75"/>
      <c r="D853" s="75"/>
      <c r="E853" s="66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66"/>
      <c r="AD853" s="66"/>
    </row>
    <row r="854">
      <c r="A854" s="131"/>
      <c r="B854" s="75"/>
      <c r="C854" s="75"/>
      <c r="D854" s="75"/>
      <c r="E854" s="66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66"/>
      <c r="AD854" s="66"/>
    </row>
    <row r="855">
      <c r="A855" s="131"/>
      <c r="B855" s="75"/>
      <c r="C855" s="75"/>
      <c r="D855" s="75"/>
      <c r="E855" s="66"/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66"/>
      <c r="AD855" s="66"/>
    </row>
    <row r="856">
      <c r="A856" s="131"/>
      <c r="B856" s="75"/>
      <c r="C856" s="75"/>
      <c r="D856" s="75"/>
      <c r="E856" s="66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66"/>
      <c r="AD856" s="66"/>
    </row>
    <row r="857">
      <c r="A857" s="131"/>
      <c r="B857" s="75"/>
      <c r="C857" s="75"/>
      <c r="D857" s="75"/>
      <c r="E857" s="66"/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66"/>
      <c r="AD857" s="66"/>
    </row>
    <row r="858">
      <c r="A858" s="131"/>
      <c r="B858" s="75"/>
      <c r="C858" s="75"/>
      <c r="D858" s="75"/>
      <c r="E858" s="66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  <c r="AA858" s="66"/>
      <c r="AB858" s="66"/>
      <c r="AC858" s="66"/>
      <c r="AD858" s="66"/>
    </row>
    <row r="859">
      <c r="A859" s="131"/>
      <c r="B859" s="75"/>
      <c r="C859" s="75"/>
      <c r="D859" s="75"/>
      <c r="E859" s="66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  <c r="AA859" s="66"/>
      <c r="AB859" s="66"/>
      <c r="AC859" s="66"/>
      <c r="AD859" s="66"/>
    </row>
    <row r="860">
      <c r="A860" s="131"/>
      <c r="B860" s="75"/>
      <c r="C860" s="75"/>
      <c r="D860" s="75"/>
      <c r="E860" s="66"/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66"/>
      <c r="AD860" s="66"/>
    </row>
    <row r="861">
      <c r="A861" s="131"/>
      <c r="B861" s="75"/>
      <c r="C861" s="75"/>
      <c r="D861" s="75"/>
      <c r="E861" s="66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  <c r="AA861" s="66"/>
      <c r="AB861" s="66"/>
      <c r="AC861" s="66"/>
      <c r="AD861" s="66"/>
    </row>
    <row r="862">
      <c r="A862" s="131"/>
      <c r="B862" s="75"/>
      <c r="C862" s="75"/>
      <c r="D862" s="75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  <c r="AA862" s="66"/>
      <c r="AB862" s="66"/>
      <c r="AC862" s="66"/>
      <c r="AD862" s="66"/>
    </row>
    <row r="863">
      <c r="A863" s="131"/>
      <c r="B863" s="75"/>
      <c r="C863" s="75"/>
      <c r="D863" s="75"/>
      <c r="E863" s="66"/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66"/>
      <c r="AD863" s="66"/>
    </row>
    <row r="864">
      <c r="A864" s="131"/>
      <c r="B864" s="75"/>
      <c r="C864" s="75"/>
      <c r="D864" s="75"/>
      <c r="E864" s="66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  <c r="AA864" s="66"/>
      <c r="AB864" s="66"/>
      <c r="AC864" s="66"/>
      <c r="AD864" s="66"/>
    </row>
    <row r="865">
      <c r="A865" s="131"/>
      <c r="B865" s="75"/>
      <c r="C865" s="75"/>
      <c r="D865" s="75"/>
      <c r="E865" s="66"/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  <c r="AA865" s="66"/>
      <c r="AB865" s="66"/>
      <c r="AC865" s="66"/>
      <c r="AD865" s="66"/>
    </row>
    <row r="866">
      <c r="A866" s="131"/>
      <c r="B866" s="75"/>
      <c r="C866" s="75"/>
      <c r="D866" s="75"/>
      <c r="E866" s="66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  <c r="AA866" s="66"/>
      <c r="AB866" s="66"/>
      <c r="AC866" s="66"/>
      <c r="AD866" s="66"/>
    </row>
    <row r="867">
      <c r="A867" s="131"/>
      <c r="B867" s="75"/>
      <c r="C867" s="75"/>
      <c r="D867" s="75"/>
      <c r="E867" s="66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  <c r="AA867" s="66"/>
      <c r="AB867" s="66"/>
      <c r="AC867" s="66"/>
      <c r="AD867" s="66"/>
    </row>
    <row r="868">
      <c r="A868" s="131"/>
      <c r="B868" s="75"/>
      <c r="C868" s="75"/>
      <c r="D868" s="75"/>
      <c r="E868" s="66"/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  <c r="AA868" s="66"/>
      <c r="AB868" s="66"/>
      <c r="AC868" s="66"/>
      <c r="AD868" s="66"/>
    </row>
    <row r="869">
      <c r="A869" s="131"/>
      <c r="B869" s="75"/>
      <c r="C869" s="75"/>
      <c r="D869" s="75"/>
      <c r="E869" s="66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  <c r="AA869" s="66"/>
      <c r="AB869" s="66"/>
      <c r="AC869" s="66"/>
      <c r="AD869" s="66"/>
    </row>
    <row r="870">
      <c r="A870" s="131"/>
      <c r="B870" s="75"/>
      <c r="C870" s="75"/>
      <c r="D870" s="75"/>
      <c r="E870" s="66"/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  <c r="AA870" s="66"/>
      <c r="AB870" s="66"/>
      <c r="AC870" s="66"/>
      <c r="AD870" s="66"/>
    </row>
    <row r="871">
      <c r="A871" s="131"/>
      <c r="B871" s="75"/>
      <c r="C871" s="75"/>
      <c r="D871" s="75"/>
      <c r="E871" s="66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  <c r="AA871" s="66"/>
      <c r="AB871" s="66"/>
      <c r="AC871" s="66"/>
      <c r="AD871" s="66"/>
    </row>
    <row r="872">
      <c r="A872" s="131"/>
      <c r="B872" s="75"/>
      <c r="C872" s="75"/>
      <c r="D872" s="75"/>
      <c r="E872" s="66"/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  <c r="AA872" s="66"/>
      <c r="AB872" s="66"/>
      <c r="AC872" s="66"/>
      <c r="AD872" s="66"/>
    </row>
    <row r="873">
      <c r="A873" s="131"/>
      <c r="B873" s="75"/>
      <c r="C873" s="75"/>
      <c r="D873" s="75"/>
      <c r="E873" s="66"/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  <c r="AA873" s="66"/>
      <c r="AB873" s="66"/>
      <c r="AC873" s="66"/>
      <c r="AD873" s="66"/>
    </row>
    <row r="874">
      <c r="A874" s="131"/>
      <c r="B874" s="75"/>
      <c r="C874" s="75"/>
      <c r="D874" s="75"/>
      <c r="E874" s="66"/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  <c r="AA874" s="66"/>
      <c r="AB874" s="66"/>
      <c r="AC874" s="66"/>
      <c r="AD874" s="66"/>
    </row>
    <row r="875">
      <c r="A875" s="131"/>
      <c r="B875" s="75"/>
      <c r="C875" s="75"/>
      <c r="D875" s="75"/>
      <c r="E875" s="66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  <c r="AA875" s="66"/>
      <c r="AB875" s="66"/>
      <c r="AC875" s="66"/>
      <c r="AD875" s="66"/>
    </row>
    <row r="876">
      <c r="A876" s="131"/>
      <c r="B876" s="75"/>
      <c r="C876" s="75"/>
      <c r="D876" s="75"/>
      <c r="E876" s="66"/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  <c r="AA876" s="66"/>
      <c r="AB876" s="66"/>
      <c r="AC876" s="66"/>
      <c r="AD876" s="66"/>
    </row>
    <row r="877">
      <c r="A877" s="131"/>
      <c r="B877" s="75"/>
      <c r="C877" s="75"/>
      <c r="D877" s="75"/>
      <c r="E877" s="66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  <c r="AA877" s="66"/>
      <c r="AB877" s="66"/>
      <c r="AC877" s="66"/>
      <c r="AD877" s="66"/>
    </row>
    <row r="878">
      <c r="A878" s="131"/>
      <c r="B878" s="75"/>
      <c r="C878" s="75"/>
      <c r="D878" s="75"/>
      <c r="E878" s="66"/>
      <c r="F878" s="66"/>
      <c r="G878" s="66"/>
      <c r="H878" s="66"/>
      <c r="I878" s="66"/>
      <c r="J878" s="66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  <c r="AA878" s="66"/>
      <c r="AB878" s="66"/>
      <c r="AC878" s="66"/>
      <c r="AD878" s="66"/>
    </row>
    <row r="879">
      <c r="A879" s="131"/>
      <c r="B879" s="75"/>
      <c r="C879" s="75"/>
      <c r="D879" s="75"/>
      <c r="E879" s="66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  <c r="AA879" s="66"/>
      <c r="AB879" s="66"/>
      <c r="AC879" s="66"/>
      <c r="AD879" s="66"/>
    </row>
    <row r="880">
      <c r="A880" s="131"/>
      <c r="B880" s="75"/>
      <c r="C880" s="75"/>
      <c r="D880" s="75"/>
      <c r="E880" s="66"/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  <c r="AA880" s="66"/>
      <c r="AB880" s="66"/>
      <c r="AC880" s="66"/>
      <c r="AD880" s="66"/>
    </row>
    <row r="881">
      <c r="A881" s="131"/>
      <c r="B881" s="75"/>
      <c r="C881" s="75"/>
      <c r="D881" s="75"/>
      <c r="E881" s="66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  <c r="AA881" s="66"/>
      <c r="AB881" s="66"/>
      <c r="AC881" s="66"/>
      <c r="AD881" s="66"/>
    </row>
    <row r="882">
      <c r="A882" s="131"/>
      <c r="B882" s="75"/>
      <c r="C882" s="75"/>
      <c r="D882" s="75"/>
      <c r="E882" s="66"/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  <c r="AA882" s="66"/>
      <c r="AB882" s="66"/>
      <c r="AC882" s="66"/>
      <c r="AD882" s="66"/>
    </row>
    <row r="883">
      <c r="A883" s="131"/>
      <c r="B883" s="75"/>
      <c r="C883" s="75"/>
      <c r="D883" s="75"/>
      <c r="E883" s="66"/>
      <c r="F883" s="66"/>
      <c r="G883" s="66"/>
      <c r="H883" s="66"/>
      <c r="I883" s="66"/>
      <c r="J883" s="66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  <c r="AA883" s="66"/>
      <c r="AB883" s="66"/>
      <c r="AC883" s="66"/>
      <c r="AD883" s="66"/>
    </row>
    <row r="884">
      <c r="A884" s="131"/>
      <c r="B884" s="75"/>
      <c r="C884" s="75"/>
      <c r="D884" s="75"/>
      <c r="E884" s="66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  <c r="AA884" s="66"/>
      <c r="AB884" s="66"/>
      <c r="AC884" s="66"/>
      <c r="AD884" s="66"/>
    </row>
    <row r="885">
      <c r="A885" s="131"/>
      <c r="B885" s="75"/>
      <c r="C885" s="75"/>
      <c r="D885" s="75"/>
      <c r="E885" s="66"/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  <c r="AA885" s="66"/>
      <c r="AB885" s="66"/>
      <c r="AC885" s="66"/>
      <c r="AD885" s="66"/>
    </row>
    <row r="886">
      <c r="A886" s="131"/>
      <c r="B886" s="75"/>
      <c r="C886" s="75"/>
      <c r="D886" s="75"/>
      <c r="E886" s="66"/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  <c r="AA886" s="66"/>
      <c r="AB886" s="66"/>
      <c r="AC886" s="66"/>
      <c r="AD886" s="66"/>
    </row>
    <row r="887">
      <c r="A887" s="131"/>
      <c r="B887" s="75"/>
      <c r="C887" s="75"/>
      <c r="D887" s="75"/>
      <c r="E887" s="66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  <c r="AA887" s="66"/>
      <c r="AB887" s="66"/>
      <c r="AC887" s="66"/>
      <c r="AD887" s="66"/>
    </row>
    <row r="888">
      <c r="A888" s="131"/>
      <c r="B888" s="75"/>
      <c r="C888" s="75"/>
      <c r="D888" s="75"/>
      <c r="E888" s="66"/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  <c r="AA888" s="66"/>
      <c r="AB888" s="66"/>
      <c r="AC888" s="66"/>
      <c r="AD888" s="66"/>
    </row>
    <row r="889">
      <c r="A889" s="131"/>
      <c r="B889" s="75"/>
      <c r="C889" s="75"/>
      <c r="D889" s="75"/>
      <c r="E889" s="66"/>
      <c r="F889" s="66"/>
      <c r="G889" s="66"/>
      <c r="H889" s="66"/>
      <c r="I889" s="66"/>
      <c r="J889" s="66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  <c r="AA889" s="66"/>
      <c r="AB889" s="66"/>
      <c r="AC889" s="66"/>
      <c r="AD889" s="66"/>
    </row>
    <row r="890">
      <c r="A890" s="131"/>
      <c r="B890" s="75"/>
      <c r="C890" s="75"/>
      <c r="D890" s="75"/>
      <c r="E890" s="66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  <c r="AA890" s="66"/>
      <c r="AB890" s="66"/>
      <c r="AC890" s="66"/>
      <c r="AD890" s="66"/>
    </row>
    <row r="891">
      <c r="A891" s="131"/>
      <c r="B891" s="75"/>
      <c r="C891" s="75"/>
      <c r="D891" s="75"/>
      <c r="E891" s="66"/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  <c r="AA891" s="66"/>
      <c r="AB891" s="66"/>
      <c r="AC891" s="66"/>
      <c r="AD891" s="66"/>
    </row>
    <row r="892">
      <c r="A892" s="131"/>
      <c r="B892" s="75"/>
      <c r="C892" s="75"/>
      <c r="D892" s="75"/>
      <c r="E892" s="66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  <c r="AA892" s="66"/>
      <c r="AB892" s="66"/>
      <c r="AC892" s="66"/>
      <c r="AD892" s="66"/>
    </row>
    <row r="893">
      <c r="A893" s="131"/>
      <c r="B893" s="75"/>
      <c r="C893" s="75"/>
      <c r="D893" s="75"/>
      <c r="E893" s="66"/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  <c r="AA893" s="66"/>
      <c r="AB893" s="66"/>
      <c r="AC893" s="66"/>
      <c r="AD893" s="66"/>
    </row>
    <row r="894">
      <c r="A894" s="131"/>
      <c r="B894" s="75"/>
      <c r="C894" s="75"/>
      <c r="D894" s="75"/>
      <c r="E894" s="66"/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  <c r="AA894" s="66"/>
      <c r="AB894" s="66"/>
      <c r="AC894" s="66"/>
      <c r="AD894" s="66"/>
    </row>
    <row r="895">
      <c r="A895" s="131"/>
      <c r="B895" s="75"/>
      <c r="C895" s="75"/>
      <c r="D895" s="75"/>
      <c r="E895" s="66"/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  <c r="AA895" s="66"/>
      <c r="AB895" s="66"/>
      <c r="AC895" s="66"/>
      <c r="AD895" s="66"/>
    </row>
    <row r="896">
      <c r="A896" s="131"/>
      <c r="B896" s="75"/>
      <c r="C896" s="75"/>
      <c r="D896" s="75"/>
      <c r="E896" s="66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  <c r="AA896" s="66"/>
      <c r="AB896" s="66"/>
      <c r="AC896" s="66"/>
      <c r="AD896" s="66"/>
    </row>
    <row r="897">
      <c r="A897" s="131"/>
      <c r="B897" s="75"/>
      <c r="C897" s="75"/>
      <c r="D897" s="75"/>
      <c r="E897" s="66"/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  <c r="AA897" s="66"/>
      <c r="AB897" s="66"/>
      <c r="AC897" s="66"/>
      <c r="AD897" s="66"/>
    </row>
    <row r="898">
      <c r="A898" s="131"/>
      <c r="B898" s="75"/>
      <c r="C898" s="75"/>
      <c r="D898" s="75"/>
      <c r="E898" s="66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  <c r="AA898" s="66"/>
      <c r="AB898" s="66"/>
      <c r="AC898" s="66"/>
      <c r="AD898" s="66"/>
    </row>
    <row r="899">
      <c r="A899" s="131"/>
      <c r="B899" s="75"/>
      <c r="C899" s="75"/>
      <c r="D899" s="75"/>
      <c r="E899" s="66"/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  <c r="AA899" s="66"/>
      <c r="AB899" s="66"/>
      <c r="AC899" s="66"/>
      <c r="AD899" s="66"/>
    </row>
    <row r="900">
      <c r="A900" s="131"/>
      <c r="B900" s="75"/>
      <c r="C900" s="75"/>
      <c r="D900" s="75"/>
      <c r="E900" s="66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  <c r="AA900" s="66"/>
      <c r="AB900" s="66"/>
      <c r="AC900" s="66"/>
      <c r="AD900" s="66"/>
    </row>
    <row r="901">
      <c r="A901" s="131"/>
      <c r="B901" s="75"/>
      <c r="C901" s="75"/>
      <c r="D901" s="75"/>
      <c r="E901" s="66"/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  <c r="AA901" s="66"/>
      <c r="AB901" s="66"/>
      <c r="AC901" s="66"/>
      <c r="AD901" s="66"/>
    </row>
    <row r="902">
      <c r="A902" s="131"/>
      <c r="B902" s="75"/>
      <c r="C902" s="75"/>
      <c r="D902" s="75"/>
      <c r="E902" s="66"/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  <c r="AA902" s="66"/>
      <c r="AB902" s="66"/>
      <c r="AC902" s="66"/>
      <c r="AD902" s="66"/>
    </row>
    <row r="903">
      <c r="A903" s="131"/>
      <c r="B903" s="75"/>
      <c r="C903" s="75"/>
      <c r="D903" s="75"/>
      <c r="E903" s="66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  <c r="AA903" s="66"/>
      <c r="AB903" s="66"/>
      <c r="AC903" s="66"/>
      <c r="AD903" s="66"/>
    </row>
    <row r="904">
      <c r="A904" s="131"/>
      <c r="B904" s="75"/>
      <c r="C904" s="75"/>
      <c r="D904" s="75"/>
      <c r="E904" s="66"/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  <c r="AA904" s="66"/>
      <c r="AB904" s="66"/>
      <c r="AC904" s="66"/>
      <c r="AD904" s="66"/>
    </row>
    <row r="905">
      <c r="A905" s="131"/>
      <c r="B905" s="75"/>
      <c r="C905" s="75"/>
      <c r="D905" s="75"/>
      <c r="E905" s="66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  <c r="AA905" s="66"/>
      <c r="AB905" s="66"/>
      <c r="AC905" s="66"/>
      <c r="AD905" s="66"/>
    </row>
    <row r="906">
      <c r="A906" s="131"/>
      <c r="B906" s="75"/>
      <c r="C906" s="75"/>
      <c r="D906" s="75"/>
      <c r="E906" s="66"/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  <c r="AA906" s="66"/>
      <c r="AB906" s="66"/>
      <c r="AC906" s="66"/>
      <c r="AD906" s="66"/>
    </row>
    <row r="907">
      <c r="A907" s="131"/>
      <c r="B907" s="75"/>
      <c r="C907" s="75"/>
      <c r="D907" s="75"/>
      <c r="E907" s="66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  <c r="AA907" s="66"/>
      <c r="AB907" s="66"/>
      <c r="AC907" s="66"/>
      <c r="AD907" s="66"/>
    </row>
    <row r="908">
      <c r="A908" s="131"/>
      <c r="B908" s="75"/>
      <c r="C908" s="75"/>
      <c r="D908" s="75"/>
      <c r="E908" s="66"/>
      <c r="F908" s="66"/>
      <c r="G908" s="66"/>
      <c r="H908" s="66"/>
      <c r="I908" s="66"/>
      <c r="J908" s="66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  <c r="AA908" s="66"/>
      <c r="AB908" s="66"/>
      <c r="AC908" s="66"/>
      <c r="AD908" s="66"/>
    </row>
    <row r="909">
      <c r="A909" s="131"/>
      <c r="B909" s="75"/>
      <c r="C909" s="75"/>
      <c r="D909" s="75"/>
      <c r="E909" s="66"/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  <c r="AA909" s="66"/>
      <c r="AB909" s="66"/>
      <c r="AC909" s="66"/>
      <c r="AD909" s="66"/>
    </row>
    <row r="910">
      <c r="A910" s="131"/>
      <c r="B910" s="75"/>
      <c r="C910" s="75"/>
      <c r="D910" s="75"/>
      <c r="E910" s="66"/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  <c r="AA910" s="66"/>
      <c r="AB910" s="66"/>
      <c r="AC910" s="66"/>
      <c r="AD910" s="66"/>
    </row>
    <row r="911">
      <c r="A911" s="131"/>
      <c r="B911" s="75"/>
      <c r="C911" s="75"/>
      <c r="D911" s="75"/>
      <c r="E911" s="66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  <c r="AA911" s="66"/>
      <c r="AB911" s="66"/>
      <c r="AC911" s="66"/>
      <c r="AD911" s="66"/>
    </row>
    <row r="912">
      <c r="A912" s="131"/>
      <c r="B912" s="75"/>
      <c r="C912" s="75"/>
      <c r="D912" s="75"/>
      <c r="E912" s="66"/>
      <c r="F912" s="66"/>
      <c r="G912" s="66"/>
      <c r="H912" s="66"/>
      <c r="I912" s="66"/>
      <c r="J912" s="66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  <c r="AA912" s="66"/>
      <c r="AB912" s="66"/>
      <c r="AC912" s="66"/>
      <c r="AD912" s="66"/>
    </row>
    <row r="913">
      <c r="A913" s="131"/>
      <c r="B913" s="75"/>
      <c r="C913" s="75"/>
      <c r="D913" s="75"/>
      <c r="E913" s="66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  <c r="AA913" s="66"/>
      <c r="AB913" s="66"/>
      <c r="AC913" s="66"/>
      <c r="AD913" s="66"/>
    </row>
    <row r="914">
      <c r="A914" s="131"/>
      <c r="B914" s="75"/>
      <c r="C914" s="75"/>
      <c r="D914" s="75"/>
      <c r="E914" s="66"/>
      <c r="F914" s="66"/>
      <c r="G914" s="66"/>
      <c r="H914" s="66"/>
      <c r="I914" s="66"/>
      <c r="J914" s="66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  <c r="AA914" s="66"/>
      <c r="AB914" s="66"/>
      <c r="AC914" s="66"/>
      <c r="AD914" s="66"/>
    </row>
    <row r="915">
      <c r="A915" s="131"/>
      <c r="B915" s="75"/>
      <c r="C915" s="75"/>
      <c r="D915" s="75"/>
      <c r="E915" s="66"/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  <c r="AA915" s="66"/>
      <c r="AB915" s="66"/>
      <c r="AC915" s="66"/>
      <c r="AD915" s="66"/>
    </row>
    <row r="916">
      <c r="A916" s="131"/>
      <c r="B916" s="75"/>
      <c r="C916" s="75"/>
      <c r="D916" s="75"/>
      <c r="E916" s="66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  <c r="AA916" s="66"/>
      <c r="AB916" s="66"/>
      <c r="AC916" s="66"/>
      <c r="AD916" s="66"/>
    </row>
    <row r="917">
      <c r="A917" s="131"/>
      <c r="B917" s="75"/>
      <c r="C917" s="75"/>
      <c r="D917" s="75"/>
      <c r="E917" s="66"/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  <c r="AA917" s="66"/>
      <c r="AB917" s="66"/>
      <c r="AC917" s="66"/>
      <c r="AD917" s="66"/>
    </row>
    <row r="918">
      <c r="A918" s="131"/>
      <c r="B918" s="75"/>
      <c r="C918" s="75"/>
      <c r="D918" s="75"/>
      <c r="E918" s="66"/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  <c r="AA918" s="66"/>
      <c r="AB918" s="66"/>
      <c r="AC918" s="66"/>
      <c r="AD918" s="66"/>
    </row>
    <row r="919">
      <c r="A919" s="131"/>
      <c r="B919" s="75"/>
      <c r="C919" s="75"/>
      <c r="D919" s="75"/>
      <c r="E919" s="66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  <c r="AA919" s="66"/>
      <c r="AB919" s="66"/>
      <c r="AC919" s="66"/>
      <c r="AD919" s="66"/>
    </row>
    <row r="920">
      <c r="A920" s="131"/>
      <c r="B920" s="75"/>
      <c r="C920" s="75"/>
      <c r="D920" s="75"/>
      <c r="E920" s="66"/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  <c r="AA920" s="66"/>
      <c r="AB920" s="66"/>
      <c r="AC920" s="66"/>
      <c r="AD920" s="66"/>
    </row>
    <row r="921">
      <c r="A921" s="131"/>
      <c r="B921" s="75"/>
      <c r="C921" s="75"/>
      <c r="D921" s="75"/>
      <c r="E921" s="66"/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  <c r="AA921" s="66"/>
      <c r="AB921" s="66"/>
      <c r="AC921" s="66"/>
      <c r="AD921" s="66"/>
    </row>
    <row r="922">
      <c r="A922" s="131"/>
      <c r="B922" s="75"/>
      <c r="C922" s="75"/>
      <c r="D922" s="75"/>
      <c r="E922" s="66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  <c r="AA922" s="66"/>
      <c r="AB922" s="66"/>
      <c r="AC922" s="66"/>
      <c r="AD922" s="66"/>
    </row>
    <row r="923">
      <c r="A923" s="131"/>
      <c r="B923" s="75"/>
      <c r="C923" s="75"/>
      <c r="D923" s="75"/>
      <c r="E923" s="66"/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  <c r="AA923" s="66"/>
      <c r="AB923" s="66"/>
      <c r="AC923" s="66"/>
      <c r="AD923" s="66"/>
    </row>
    <row r="924">
      <c r="A924" s="131"/>
      <c r="B924" s="75"/>
      <c r="C924" s="75"/>
      <c r="D924" s="75"/>
      <c r="E924" s="66"/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  <c r="AA924" s="66"/>
      <c r="AB924" s="66"/>
      <c r="AC924" s="66"/>
      <c r="AD924" s="66"/>
    </row>
    <row r="925">
      <c r="A925" s="131"/>
      <c r="B925" s="75"/>
      <c r="C925" s="75"/>
      <c r="D925" s="75"/>
      <c r="E925" s="66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  <c r="AA925" s="66"/>
      <c r="AB925" s="66"/>
      <c r="AC925" s="66"/>
      <c r="AD925" s="66"/>
    </row>
    <row r="926">
      <c r="A926" s="131"/>
      <c r="B926" s="75"/>
      <c r="C926" s="75"/>
      <c r="D926" s="75"/>
      <c r="E926" s="66"/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  <c r="AA926" s="66"/>
      <c r="AB926" s="66"/>
      <c r="AC926" s="66"/>
      <c r="AD926" s="66"/>
    </row>
    <row r="927">
      <c r="A927" s="131"/>
      <c r="B927" s="75"/>
      <c r="C927" s="75"/>
      <c r="D927" s="75"/>
      <c r="E927" s="66"/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  <c r="AA927" s="66"/>
      <c r="AB927" s="66"/>
      <c r="AC927" s="66"/>
      <c r="AD927" s="66"/>
    </row>
    <row r="928">
      <c r="A928" s="131"/>
      <c r="B928" s="75"/>
      <c r="C928" s="75"/>
      <c r="D928" s="75"/>
      <c r="E928" s="66"/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  <c r="AA928" s="66"/>
      <c r="AB928" s="66"/>
      <c r="AC928" s="66"/>
      <c r="AD928" s="66"/>
    </row>
    <row r="929">
      <c r="A929" s="131"/>
      <c r="B929" s="75"/>
      <c r="C929" s="75"/>
      <c r="D929" s="75"/>
      <c r="E929" s="66"/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  <c r="AA929" s="66"/>
      <c r="AB929" s="66"/>
      <c r="AC929" s="66"/>
      <c r="AD929" s="66"/>
    </row>
    <row r="930">
      <c r="A930" s="131"/>
      <c r="B930" s="75"/>
      <c r="C930" s="75"/>
      <c r="D930" s="75"/>
      <c r="E930" s="66"/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  <c r="AA930" s="66"/>
      <c r="AB930" s="66"/>
      <c r="AC930" s="66"/>
      <c r="AD930" s="66"/>
    </row>
    <row r="931">
      <c r="A931" s="131"/>
      <c r="B931" s="75"/>
      <c r="C931" s="75"/>
      <c r="D931" s="75"/>
      <c r="E931" s="66"/>
      <c r="F931" s="66"/>
      <c r="G931" s="66"/>
      <c r="H931" s="66"/>
      <c r="I931" s="66"/>
      <c r="J931" s="66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  <c r="AA931" s="66"/>
      <c r="AB931" s="66"/>
      <c r="AC931" s="66"/>
      <c r="AD931" s="66"/>
    </row>
    <row r="932">
      <c r="A932" s="131"/>
      <c r="B932" s="75"/>
      <c r="C932" s="75"/>
      <c r="D932" s="75"/>
      <c r="E932" s="66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  <c r="AA932" s="66"/>
      <c r="AB932" s="66"/>
      <c r="AC932" s="66"/>
      <c r="AD932" s="66"/>
    </row>
    <row r="933">
      <c r="A933" s="131"/>
      <c r="B933" s="75"/>
      <c r="C933" s="75"/>
      <c r="D933" s="75"/>
      <c r="E933" s="66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  <c r="AA933" s="66"/>
      <c r="AB933" s="66"/>
      <c r="AC933" s="66"/>
      <c r="AD933" s="66"/>
    </row>
    <row r="934">
      <c r="A934" s="131"/>
      <c r="B934" s="75"/>
      <c r="C934" s="75"/>
      <c r="D934" s="75"/>
      <c r="E934" s="66"/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  <c r="AA934" s="66"/>
      <c r="AB934" s="66"/>
      <c r="AC934" s="66"/>
      <c r="AD934" s="66"/>
    </row>
    <row r="935">
      <c r="A935" s="131"/>
      <c r="B935" s="75"/>
      <c r="C935" s="75"/>
      <c r="D935" s="75"/>
      <c r="E935" s="66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  <c r="AA935" s="66"/>
      <c r="AB935" s="66"/>
      <c r="AC935" s="66"/>
      <c r="AD935" s="66"/>
    </row>
    <row r="936">
      <c r="A936" s="131"/>
      <c r="B936" s="75"/>
      <c r="C936" s="75"/>
      <c r="D936" s="75"/>
      <c r="E936" s="66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  <c r="AA936" s="66"/>
      <c r="AB936" s="66"/>
      <c r="AC936" s="66"/>
      <c r="AD936" s="66"/>
    </row>
    <row r="937">
      <c r="A937" s="131"/>
      <c r="B937" s="75"/>
      <c r="C937" s="75"/>
      <c r="D937" s="75"/>
      <c r="E937" s="66"/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  <c r="AA937" s="66"/>
      <c r="AB937" s="66"/>
      <c r="AC937" s="66"/>
      <c r="AD937" s="66"/>
    </row>
    <row r="938">
      <c r="A938" s="131"/>
      <c r="B938" s="75"/>
      <c r="C938" s="75"/>
      <c r="D938" s="75"/>
      <c r="E938" s="66"/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  <c r="AA938" s="66"/>
      <c r="AB938" s="66"/>
      <c r="AC938" s="66"/>
      <c r="AD938" s="66"/>
    </row>
    <row r="939">
      <c r="A939" s="131"/>
      <c r="B939" s="75"/>
      <c r="C939" s="75"/>
      <c r="D939" s="75"/>
      <c r="E939" s="66"/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  <c r="AA939" s="66"/>
      <c r="AB939" s="66"/>
      <c r="AC939" s="66"/>
      <c r="AD939" s="66"/>
    </row>
    <row r="940">
      <c r="A940" s="131"/>
      <c r="B940" s="75"/>
      <c r="C940" s="75"/>
      <c r="D940" s="75"/>
      <c r="E940" s="66"/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  <c r="AA940" s="66"/>
      <c r="AB940" s="66"/>
      <c r="AC940" s="66"/>
      <c r="AD940" s="66"/>
    </row>
    <row r="941">
      <c r="A941" s="131"/>
      <c r="B941" s="75"/>
      <c r="C941" s="75"/>
      <c r="D941" s="75"/>
      <c r="E941" s="66"/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  <c r="AA941" s="66"/>
      <c r="AB941" s="66"/>
      <c r="AC941" s="66"/>
      <c r="AD941" s="66"/>
    </row>
    <row r="942">
      <c r="A942" s="131"/>
      <c r="B942" s="75"/>
      <c r="C942" s="75"/>
      <c r="D942" s="75"/>
      <c r="E942" s="66"/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  <c r="AA942" s="66"/>
      <c r="AB942" s="66"/>
      <c r="AC942" s="66"/>
      <c r="AD942" s="66"/>
    </row>
    <row r="943">
      <c r="A943" s="131"/>
      <c r="B943" s="75"/>
      <c r="C943" s="75"/>
      <c r="D943" s="75"/>
      <c r="E943" s="66"/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  <c r="AA943" s="66"/>
      <c r="AB943" s="66"/>
      <c r="AC943" s="66"/>
      <c r="AD943" s="66"/>
    </row>
    <row r="944">
      <c r="A944" s="131"/>
      <c r="B944" s="75"/>
      <c r="C944" s="75"/>
      <c r="D944" s="75"/>
      <c r="E944" s="66"/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  <c r="AA944" s="66"/>
      <c r="AB944" s="66"/>
      <c r="AC944" s="66"/>
      <c r="AD944" s="66"/>
    </row>
    <row r="945">
      <c r="A945" s="131"/>
      <c r="B945" s="75"/>
      <c r="C945" s="75"/>
      <c r="D945" s="75"/>
      <c r="E945" s="66"/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  <c r="AA945" s="66"/>
      <c r="AB945" s="66"/>
      <c r="AC945" s="66"/>
      <c r="AD945" s="66"/>
    </row>
    <row r="946">
      <c r="A946" s="131"/>
      <c r="B946" s="75"/>
      <c r="C946" s="75"/>
      <c r="D946" s="75"/>
      <c r="E946" s="66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  <c r="AA946" s="66"/>
      <c r="AB946" s="66"/>
      <c r="AC946" s="66"/>
      <c r="AD946" s="66"/>
    </row>
    <row r="947">
      <c r="A947" s="131"/>
      <c r="B947" s="75"/>
      <c r="C947" s="75"/>
      <c r="D947" s="75"/>
      <c r="E947" s="66"/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  <c r="AA947" s="66"/>
      <c r="AB947" s="66"/>
      <c r="AC947" s="66"/>
      <c r="AD947" s="66"/>
    </row>
    <row r="948">
      <c r="A948" s="131"/>
      <c r="B948" s="75"/>
      <c r="C948" s="75"/>
      <c r="D948" s="75"/>
      <c r="E948" s="66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  <c r="AA948" s="66"/>
      <c r="AB948" s="66"/>
      <c r="AC948" s="66"/>
      <c r="AD948" s="66"/>
    </row>
    <row r="949">
      <c r="A949" s="131"/>
      <c r="B949" s="75"/>
      <c r="C949" s="75"/>
      <c r="D949" s="75"/>
      <c r="E949" s="66"/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  <c r="AA949" s="66"/>
      <c r="AB949" s="66"/>
      <c r="AC949" s="66"/>
      <c r="AD949" s="66"/>
    </row>
    <row r="950">
      <c r="A950" s="131"/>
      <c r="B950" s="75"/>
      <c r="C950" s="75"/>
      <c r="D950" s="75"/>
      <c r="E950" s="66"/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  <c r="AA950" s="66"/>
      <c r="AB950" s="66"/>
      <c r="AC950" s="66"/>
      <c r="AD950" s="66"/>
    </row>
    <row r="951">
      <c r="A951" s="131"/>
      <c r="B951" s="75"/>
      <c r="C951" s="75"/>
      <c r="D951" s="75"/>
      <c r="E951" s="66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  <c r="AA951" s="66"/>
      <c r="AB951" s="66"/>
      <c r="AC951" s="66"/>
      <c r="AD951" s="66"/>
    </row>
    <row r="952">
      <c r="A952" s="131"/>
      <c r="B952" s="75"/>
      <c r="C952" s="75"/>
      <c r="D952" s="75"/>
      <c r="E952" s="66"/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  <c r="AA952" s="66"/>
      <c r="AB952" s="66"/>
      <c r="AC952" s="66"/>
      <c r="AD952" s="66"/>
    </row>
    <row r="953">
      <c r="A953" s="131"/>
      <c r="B953" s="75"/>
      <c r="C953" s="75"/>
      <c r="D953" s="75"/>
      <c r="E953" s="66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  <c r="AA953" s="66"/>
      <c r="AB953" s="66"/>
      <c r="AC953" s="66"/>
      <c r="AD953" s="66"/>
    </row>
    <row r="954">
      <c r="A954" s="131"/>
      <c r="B954" s="75"/>
      <c r="C954" s="75"/>
      <c r="D954" s="75"/>
      <c r="E954" s="66"/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  <c r="AA954" s="66"/>
      <c r="AB954" s="66"/>
      <c r="AC954" s="66"/>
      <c r="AD954" s="66"/>
    </row>
    <row r="955">
      <c r="A955" s="131"/>
      <c r="B955" s="75"/>
      <c r="C955" s="75"/>
      <c r="D955" s="75"/>
      <c r="E955" s="66"/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  <c r="AA955" s="66"/>
      <c r="AB955" s="66"/>
      <c r="AC955" s="66"/>
      <c r="AD955" s="66"/>
    </row>
    <row r="956">
      <c r="A956" s="131"/>
      <c r="B956" s="75"/>
      <c r="C956" s="75"/>
      <c r="D956" s="75"/>
      <c r="E956" s="66"/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  <c r="AA956" s="66"/>
      <c r="AB956" s="66"/>
      <c r="AC956" s="66"/>
      <c r="AD956" s="66"/>
    </row>
    <row r="957">
      <c r="A957" s="131"/>
      <c r="B957" s="75"/>
      <c r="C957" s="75"/>
      <c r="D957" s="75"/>
      <c r="E957" s="66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  <c r="AA957" s="66"/>
      <c r="AB957" s="66"/>
      <c r="AC957" s="66"/>
      <c r="AD957" s="66"/>
    </row>
    <row r="958">
      <c r="A958" s="131"/>
      <c r="B958" s="75"/>
      <c r="C958" s="75"/>
      <c r="D958" s="75"/>
      <c r="E958" s="66"/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  <c r="AA958" s="66"/>
      <c r="AB958" s="66"/>
      <c r="AC958" s="66"/>
      <c r="AD958" s="66"/>
    </row>
    <row r="959">
      <c r="A959" s="131"/>
      <c r="B959" s="75"/>
      <c r="C959" s="75"/>
      <c r="D959" s="75"/>
      <c r="E959" s="66"/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  <c r="AA959" s="66"/>
      <c r="AB959" s="66"/>
      <c r="AC959" s="66"/>
      <c r="AD959" s="66"/>
    </row>
    <row r="960">
      <c r="A960" s="131"/>
      <c r="B960" s="75"/>
      <c r="C960" s="75"/>
      <c r="D960" s="75"/>
      <c r="E960" s="66"/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  <c r="AA960" s="66"/>
      <c r="AB960" s="66"/>
      <c r="AC960" s="66"/>
      <c r="AD960" s="66"/>
    </row>
    <row r="961">
      <c r="A961" s="131"/>
      <c r="B961" s="75"/>
      <c r="C961" s="75"/>
      <c r="D961" s="75"/>
      <c r="E961" s="66"/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  <c r="AA961" s="66"/>
      <c r="AB961" s="66"/>
      <c r="AC961" s="66"/>
      <c r="AD961" s="66"/>
    </row>
    <row r="962">
      <c r="A962" s="131"/>
      <c r="B962" s="75"/>
      <c r="C962" s="75"/>
      <c r="D962" s="75"/>
      <c r="E962" s="66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  <c r="AA962" s="66"/>
      <c r="AB962" s="66"/>
      <c r="AC962" s="66"/>
      <c r="AD962" s="66"/>
    </row>
    <row r="963">
      <c r="A963" s="131"/>
      <c r="B963" s="75"/>
      <c r="C963" s="75"/>
      <c r="D963" s="75"/>
      <c r="E963" s="66"/>
      <c r="F963" s="66"/>
      <c r="G963" s="66"/>
      <c r="H963" s="66"/>
      <c r="I963" s="66"/>
      <c r="J963" s="66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  <c r="AA963" s="66"/>
      <c r="AB963" s="66"/>
      <c r="AC963" s="66"/>
      <c r="AD963" s="66"/>
    </row>
    <row r="964">
      <c r="A964" s="131"/>
      <c r="B964" s="75"/>
      <c r="C964" s="75"/>
      <c r="D964" s="75"/>
      <c r="E964" s="66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  <c r="AA964" s="66"/>
      <c r="AB964" s="66"/>
      <c r="AC964" s="66"/>
      <c r="AD964" s="66"/>
    </row>
    <row r="965">
      <c r="A965" s="131"/>
      <c r="B965" s="75"/>
      <c r="C965" s="75"/>
      <c r="D965" s="75"/>
      <c r="E965" s="66"/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  <c r="AA965" s="66"/>
      <c r="AB965" s="66"/>
      <c r="AC965" s="66"/>
      <c r="AD965" s="66"/>
    </row>
    <row r="966">
      <c r="A966" s="131"/>
      <c r="B966" s="75"/>
      <c r="C966" s="75"/>
      <c r="D966" s="75"/>
      <c r="E966" s="66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  <c r="AA966" s="66"/>
      <c r="AB966" s="66"/>
      <c r="AC966" s="66"/>
      <c r="AD966" s="66"/>
    </row>
    <row r="967">
      <c r="A967" s="131"/>
      <c r="B967" s="75"/>
      <c r="C967" s="75"/>
      <c r="D967" s="75"/>
      <c r="E967" s="66"/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  <c r="AA967" s="66"/>
      <c r="AB967" s="66"/>
      <c r="AC967" s="66"/>
      <c r="AD967" s="66"/>
    </row>
    <row r="968">
      <c r="A968" s="131"/>
      <c r="B968" s="75"/>
      <c r="C968" s="75"/>
      <c r="D968" s="75"/>
      <c r="E968" s="66"/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  <c r="AA968" s="66"/>
      <c r="AB968" s="66"/>
      <c r="AC968" s="66"/>
      <c r="AD968" s="66"/>
    </row>
    <row r="969">
      <c r="A969" s="131"/>
      <c r="B969" s="75"/>
      <c r="C969" s="75"/>
      <c r="D969" s="75"/>
      <c r="E969" s="66"/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  <c r="AA969" s="66"/>
      <c r="AB969" s="66"/>
      <c r="AC969" s="66"/>
      <c r="AD969" s="66"/>
    </row>
    <row r="970">
      <c r="A970" s="131"/>
      <c r="B970" s="75"/>
      <c r="C970" s="75"/>
      <c r="D970" s="75"/>
      <c r="E970" s="66"/>
      <c r="F970" s="66"/>
      <c r="G970" s="66"/>
      <c r="H970" s="66"/>
      <c r="I970" s="66"/>
      <c r="J970" s="66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  <c r="AA970" s="66"/>
      <c r="AB970" s="66"/>
      <c r="AC970" s="66"/>
      <c r="AD970" s="66"/>
    </row>
    <row r="971">
      <c r="A971" s="131"/>
      <c r="B971" s="75"/>
      <c r="C971" s="75"/>
      <c r="D971" s="75"/>
      <c r="E971" s="66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  <c r="AA971" s="66"/>
      <c r="AB971" s="66"/>
      <c r="AC971" s="66"/>
      <c r="AD971" s="66"/>
    </row>
    <row r="972">
      <c r="A972" s="131"/>
      <c r="B972" s="75"/>
      <c r="C972" s="75"/>
      <c r="D972" s="75"/>
      <c r="E972" s="66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  <c r="AA972" s="66"/>
      <c r="AB972" s="66"/>
      <c r="AC972" s="66"/>
      <c r="AD972" s="66"/>
    </row>
    <row r="973">
      <c r="A973" s="131"/>
      <c r="B973" s="75"/>
      <c r="C973" s="75"/>
      <c r="D973" s="75"/>
      <c r="E973" s="66"/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  <c r="AA973" s="66"/>
      <c r="AB973" s="66"/>
      <c r="AC973" s="66"/>
      <c r="AD973" s="66"/>
    </row>
    <row r="974">
      <c r="A974" s="131"/>
      <c r="B974" s="75"/>
      <c r="C974" s="75"/>
      <c r="D974" s="75"/>
      <c r="E974" s="66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  <c r="AA974" s="66"/>
      <c r="AB974" s="66"/>
      <c r="AC974" s="66"/>
      <c r="AD974" s="66"/>
    </row>
    <row r="975">
      <c r="A975" s="131"/>
      <c r="B975" s="75"/>
      <c r="C975" s="75"/>
      <c r="D975" s="75"/>
      <c r="E975" s="66"/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  <c r="AA975" s="66"/>
      <c r="AB975" s="66"/>
      <c r="AC975" s="66"/>
      <c r="AD975" s="66"/>
    </row>
    <row r="976">
      <c r="A976" s="131"/>
      <c r="B976" s="75"/>
      <c r="C976" s="75"/>
      <c r="D976" s="75"/>
      <c r="E976" s="66"/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  <c r="AA976" s="66"/>
      <c r="AB976" s="66"/>
      <c r="AC976" s="66"/>
      <c r="AD976" s="66"/>
    </row>
    <row r="977">
      <c r="A977" s="131"/>
      <c r="B977" s="75"/>
      <c r="C977" s="75"/>
      <c r="D977" s="75"/>
      <c r="E977" s="66"/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  <c r="AA977" s="66"/>
      <c r="AB977" s="66"/>
      <c r="AC977" s="66"/>
      <c r="AD977" s="66"/>
    </row>
    <row r="978">
      <c r="A978" s="131"/>
      <c r="B978" s="75"/>
      <c r="C978" s="75"/>
      <c r="D978" s="75"/>
      <c r="E978" s="66"/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  <c r="AA978" s="66"/>
      <c r="AB978" s="66"/>
      <c r="AC978" s="66"/>
      <c r="AD978" s="66"/>
    </row>
    <row r="979">
      <c r="A979" s="131"/>
      <c r="B979" s="75"/>
      <c r="C979" s="75"/>
      <c r="D979" s="75"/>
      <c r="E979" s="66"/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  <c r="AA979" s="66"/>
      <c r="AB979" s="66"/>
      <c r="AC979" s="66"/>
      <c r="AD979" s="66"/>
    </row>
    <row r="980">
      <c r="A980" s="131"/>
      <c r="B980" s="75"/>
      <c r="C980" s="75"/>
      <c r="D980" s="75"/>
      <c r="E980" s="66"/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  <c r="AA980" s="66"/>
      <c r="AB980" s="66"/>
      <c r="AC980" s="66"/>
      <c r="AD980" s="66"/>
    </row>
    <row r="981">
      <c r="A981" s="131"/>
      <c r="B981" s="75"/>
      <c r="C981" s="75"/>
      <c r="D981" s="75"/>
      <c r="E981" s="66"/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  <c r="AA981" s="66"/>
      <c r="AB981" s="66"/>
      <c r="AC981" s="66"/>
      <c r="AD981" s="66"/>
    </row>
    <row r="982">
      <c r="A982" s="131"/>
      <c r="B982" s="75"/>
      <c r="C982" s="75"/>
      <c r="D982" s="75"/>
      <c r="E982" s="66"/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  <c r="AA982" s="66"/>
      <c r="AB982" s="66"/>
      <c r="AC982" s="66"/>
      <c r="AD982" s="66"/>
    </row>
    <row r="983">
      <c r="A983" s="131"/>
      <c r="B983" s="75"/>
      <c r="C983" s="75"/>
      <c r="D983" s="75"/>
      <c r="E983" s="66"/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  <c r="AA983" s="66"/>
      <c r="AB983" s="66"/>
      <c r="AC983" s="66"/>
      <c r="AD983" s="66"/>
    </row>
    <row r="984">
      <c r="A984" s="131"/>
      <c r="B984" s="75"/>
      <c r="C984" s="75"/>
      <c r="D984" s="75"/>
      <c r="E984" s="66"/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  <c r="AA984" s="66"/>
      <c r="AB984" s="66"/>
      <c r="AC984" s="66"/>
      <c r="AD984" s="66"/>
    </row>
    <row r="985">
      <c r="A985" s="131"/>
      <c r="B985" s="75"/>
      <c r="C985" s="75"/>
      <c r="D985" s="75"/>
      <c r="E985" s="66"/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  <c r="AA985" s="66"/>
      <c r="AB985" s="66"/>
      <c r="AC985" s="66"/>
      <c r="AD985" s="66"/>
    </row>
    <row r="986">
      <c r="A986" s="131"/>
      <c r="B986" s="75"/>
      <c r="C986" s="75"/>
      <c r="D986" s="75"/>
      <c r="E986" s="66"/>
      <c r="F986" s="66"/>
      <c r="G986" s="66"/>
      <c r="H986" s="66"/>
      <c r="I986" s="66"/>
      <c r="J986" s="66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  <c r="AA986" s="66"/>
      <c r="AB986" s="66"/>
      <c r="AC986" s="66"/>
      <c r="AD986" s="66"/>
    </row>
    <row r="987">
      <c r="A987" s="131"/>
      <c r="B987" s="75"/>
      <c r="C987" s="75"/>
      <c r="D987" s="75"/>
      <c r="E987" s="66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  <c r="AA987" s="66"/>
      <c r="AB987" s="66"/>
      <c r="AC987" s="66"/>
      <c r="AD987" s="66"/>
    </row>
    <row r="988">
      <c r="A988" s="131"/>
      <c r="B988" s="75"/>
      <c r="C988" s="75"/>
      <c r="D988" s="75"/>
      <c r="E988" s="66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  <c r="AA988" s="66"/>
      <c r="AB988" s="66"/>
      <c r="AC988" s="66"/>
      <c r="AD988" s="66"/>
    </row>
    <row r="989">
      <c r="A989" s="131"/>
      <c r="B989" s="75"/>
      <c r="C989" s="75"/>
      <c r="D989" s="75"/>
      <c r="E989" s="66"/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  <c r="AA989" s="66"/>
      <c r="AB989" s="66"/>
      <c r="AC989" s="66"/>
      <c r="AD989" s="66"/>
    </row>
    <row r="990">
      <c r="A990" s="131"/>
      <c r="B990" s="75"/>
      <c r="C990" s="75"/>
      <c r="D990" s="75"/>
      <c r="E990" s="66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  <c r="AA990" s="66"/>
      <c r="AB990" s="66"/>
      <c r="AC990" s="66"/>
      <c r="AD990" s="66"/>
    </row>
    <row r="991">
      <c r="A991" s="131"/>
      <c r="B991" s="75"/>
      <c r="C991" s="75"/>
      <c r="D991" s="75"/>
      <c r="E991" s="66"/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  <c r="AA991" s="66"/>
      <c r="AB991" s="66"/>
      <c r="AC991" s="66"/>
      <c r="AD991" s="66"/>
    </row>
    <row r="992">
      <c r="A992" s="131"/>
      <c r="B992" s="75"/>
      <c r="C992" s="75"/>
      <c r="D992" s="75"/>
      <c r="E992" s="66"/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  <c r="AA992" s="66"/>
      <c r="AB992" s="66"/>
      <c r="AC992" s="66"/>
      <c r="AD992" s="66"/>
    </row>
    <row r="993">
      <c r="A993" s="131"/>
      <c r="B993" s="75"/>
      <c r="C993" s="75"/>
      <c r="D993" s="75"/>
      <c r="E993" s="66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  <c r="AA993" s="66"/>
      <c r="AB993" s="66"/>
      <c r="AC993" s="66"/>
      <c r="AD993" s="66"/>
    </row>
    <row r="994">
      <c r="A994" s="131"/>
      <c r="B994" s="75"/>
      <c r="C994" s="75"/>
      <c r="D994" s="75"/>
      <c r="E994" s="66"/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  <c r="AA994" s="66"/>
      <c r="AB994" s="66"/>
      <c r="AC994" s="66"/>
      <c r="AD994" s="66"/>
    </row>
    <row r="995">
      <c r="A995" s="131"/>
      <c r="B995" s="75"/>
      <c r="C995" s="75"/>
      <c r="D995" s="75"/>
      <c r="E995" s="66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  <c r="AA995" s="66"/>
      <c r="AB995" s="66"/>
      <c r="AC995" s="66"/>
      <c r="AD995" s="66"/>
    </row>
    <row r="996">
      <c r="A996" s="131"/>
      <c r="B996" s="75"/>
      <c r="C996" s="75"/>
      <c r="D996" s="75"/>
      <c r="E996" s="66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  <c r="AA996" s="66"/>
      <c r="AB996" s="66"/>
      <c r="AC996" s="66"/>
      <c r="AD996" s="66"/>
    </row>
    <row r="997">
      <c r="A997" s="131"/>
      <c r="B997" s="75"/>
      <c r="C997" s="75"/>
      <c r="D997" s="75"/>
      <c r="E997" s="66"/>
      <c r="F997" s="66"/>
      <c r="G997" s="66"/>
      <c r="H997" s="66"/>
      <c r="I997" s="66"/>
      <c r="J997" s="66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  <c r="AA997" s="66"/>
      <c r="AB997" s="66"/>
      <c r="AC997" s="66"/>
      <c r="AD997" s="66"/>
    </row>
    <row r="998">
      <c r="A998" s="131"/>
      <c r="B998" s="75"/>
      <c r="C998" s="75"/>
      <c r="D998" s="75"/>
      <c r="E998" s="66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  <c r="AA998" s="66"/>
      <c r="AB998" s="66"/>
      <c r="AC998" s="66"/>
      <c r="AD998" s="66"/>
    </row>
    <row r="999">
      <c r="A999" s="131"/>
      <c r="B999" s="75"/>
      <c r="C999" s="75"/>
      <c r="D999" s="75"/>
      <c r="E999" s="66"/>
      <c r="F999" s="66"/>
      <c r="G999" s="66"/>
      <c r="H999" s="66"/>
      <c r="I999" s="66"/>
      <c r="J999" s="66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  <c r="AA999" s="66"/>
      <c r="AB999" s="66"/>
      <c r="AC999" s="66"/>
      <c r="AD999" s="66"/>
    </row>
    <row r="1000">
      <c r="A1000" s="131"/>
      <c r="B1000" s="75"/>
      <c r="C1000" s="75"/>
      <c r="D1000" s="75"/>
      <c r="E1000" s="66"/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66"/>
      <c r="R1000" s="66"/>
      <c r="S1000" s="66"/>
      <c r="T1000" s="66"/>
      <c r="U1000" s="66"/>
      <c r="V1000" s="66"/>
      <c r="W1000" s="66"/>
      <c r="X1000" s="66"/>
      <c r="Y1000" s="66"/>
      <c r="Z1000" s="66"/>
      <c r="AA1000" s="66"/>
      <c r="AB1000" s="66"/>
      <c r="AC1000" s="66"/>
      <c r="AD1000" s="66"/>
    </row>
    <row r="1001">
      <c r="A1001" s="131"/>
      <c r="B1001" s="75"/>
      <c r="C1001" s="75"/>
      <c r="D1001" s="75"/>
      <c r="E1001" s="66"/>
      <c r="F1001" s="66"/>
      <c r="G1001" s="66"/>
      <c r="H1001" s="66"/>
      <c r="I1001" s="66"/>
      <c r="J1001" s="66"/>
      <c r="K1001" s="66"/>
      <c r="L1001" s="66"/>
      <c r="M1001" s="66"/>
      <c r="N1001" s="66"/>
      <c r="O1001" s="66"/>
      <c r="P1001" s="66"/>
      <c r="Q1001" s="66"/>
      <c r="R1001" s="66"/>
      <c r="S1001" s="66"/>
      <c r="T1001" s="66"/>
      <c r="U1001" s="66"/>
      <c r="V1001" s="66"/>
      <c r="W1001" s="66"/>
      <c r="X1001" s="66"/>
      <c r="Y1001" s="66"/>
      <c r="Z1001" s="66"/>
      <c r="AA1001" s="66"/>
      <c r="AB1001" s="66"/>
      <c r="AC1001" s="66"/>
      <c r="AD1001" s="66"/>
    </row>
    <row r="1002">
      <c r="A1002" s="131"/>
      <c r="B1002" s="75"/>
      <c r="C1002" s="75"/>
      <c r="D1002" s="75"/>
      <c r="E1002" s="66"/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66"/>
      <c r="R1002" s="66"/>
      <c r="S1002" s="66"/>
      <c r="T1002" s="66"/>
      <c r="U1002" s="66"/>
      <c r="V1002" s="66"/>
      <c r="W1002" s="66"/>
      <c r="X1002" s="66"/>
      <c r="Y1002" s="66"/>
      <c r="Z1002" s="66"/>
      <c r="AA1002" s="66"/>
      <c r="AB1002" s="66"/>
      <c r="AC1002" s="66"/>
      <c r="AD1002" s="66"/>
    </row>
    <row r="1003">
      <c r="A1003" s="131"/>
      <c r="B1003" s="75"/>
      <c r="C1003" s="75"/>
      <c r="D1003" s="75"/>
      <c r="E1003" s="66"/>
      <c r="F1003" s="66"/>
      <c r="G1003" s="66"/>
      <c r="H1003" s="66"/>
      <c r="I1003" s="66"/>
      <c r="J1003" s="66"/>
      <c r="K1003" s="66"/>
      <c r="L1003" s="66"/>
      <c r="M1003" s="66"/>
      <c r="N1003" s="66"/>
      <c r="O1003" s="66"/>
      <c r="P1003" s="66"/>
      <c r="Q1003" s="66"/>
      <c r="R1003" s="66"/>
      <c r="S1003" s="66"/>
      <c r="T1003" s="66"/>
      <c r="U1003" s="66"/>
      <c r="V1003" s="66"/>
      <c r="W1003" s="66"/>
      <c r="X1003" s="66"/>
      <c r="Y1003" s="66"/>
      <c r="Z1003" s="66"/>
      <c r="AA1003" s="66"/>
      <c r="AB1003" s="66"/>
      <c r="AC1003" s="66"/>
      <c r="AD1003" s="66"/>
    </row>
    <row r="1004">
      <c r="A1004" s="131"/>
      <c r="B1004" s="75"/>
      <c r="C1004" s="75"/>
      <c r="D1004" s="75"/>
      <c r="E1004" s="66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66"/>
      <c r="R1004" s="66"/>
      <c r="S1004" s="66"/>
      <c r="T1004" s="66"/>
      <c r="U1004" s="66"/>
      <c r="V1004" s="66"/>
      <c r="W1004" s="66"/>
      <c r="X1004" s="66"/>
      <c r="Y1004" s="66"/>
      <c r="Z1004" s="66"/>
      <c r="AA1004" s="66"/>
      <c r="AB1004" s="66"/>
      <c r="AC1004" s="66"/>
      <c r="AD1004" s="66"/>
    </row>
    <row r="1005">
      <c r="A1005" s="131"/>
      <c r="B1005" s="75"/>
      <c r="C1005" s="75"/>
      <c r="D1005" s="75"/>
      <c r="E1005" s="66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66"/>
      <c r="R1005" s="66"/>
      <c r="S1005" s="66"/>
      <c r="T1005" s="66"/>
      <c r="U1005" s="66"/>
      <c r="V1005" s="66"/>
      <c r="W1005" s="66"/>
      <c r="X1005" s="66"/>
      <c r="Y1005" s="66"/>
      <c r="Z1005" s="66"/>
      <c r="AA1005" s="66"/>
      <c r="AB1005" s="66"/>
      <c r="AC1005" s="66"/>
      <c r="AD1005" s="66"/>
    </row>
    <row r="1006">
      <c r="A1006" s="131"/>
      <c r="B1006" s="75"/>
      <c r="C1006" s="75"/>
      <c r="D1006" s="75"/>
      <c r="E1006" s="66"/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66"/>
      <c r="R1006" s="66"/>
      <c r="S1006" s="66"/>
      <c r="T1006" s="66"/>
      <c r="U1006" s="66"/>
      <c r="V1006" s="66"/>
      <c r="W1006" s="66"/>
      <c r="X1006" s="66"/>
      <c r="Y1006" s="66"/>
      <c r="Z1006" s="66"/>
      <c r="AA1006" s="66"/>
      <c r="AB1006" s="66"/>
      <c r="AC1006" s="66"/>
      <c r="AD1006" s="66"/>
    </row>
    <row r="1007">
      <c r="A1007" s="131"/>
      <c r="B1007" s="75"/>
      <c r="C1007" s="75"/>
      <c r="D1007" s="75"/>
      <c r="E1007" s="66"/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66"/>
      <c r="R1007" s="66"/>
      <c r="S1007" s="66"/>
      <c r="T1007" s="66"/>
      <c r="U1007" s="66"/>
      <c r="V1007" s="66"/>
      <c r="W1007" s="66"/>
      <c r="X1007" s="66"/>
      <c r="Y1007" s="66"/>
      <c r="Z1007" s="66"/>
      <c r="AA1007" s="66"/>
      <c r="AB1007" s="66"/>
      <c r="AC1007" s="66"/>
      <c r="AD1007" s="66"/>
    </row>
    <row r="1008">
      <c r="A1008" s="131"/>
      <c r="B1008" s="75"/>
      <c r="C1008" s="75"/>
      <c r="D1008" s="75"/>
      <c r="E1008" s="66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66"/>
      <c r="R1008" s="66"/>
      <c r="S1008" s="66"/>
      <c r="T1008" s="66"/>
      <c r="U1008" s="66"/>
      <c r="V1008" s="66"/>
      <c r="W1008" s="66"/>
      <c r="X1008" s="66"/>
      <c r="Y1008" s="66"/>
      <c r="Z1008" s="66"/>
      <c r="AA1008" s="66"/>
      <c r="AB1008" s="66"/>
      <c r="AC1008" s="66"/>
      <c r="AD1008" s="66"/>
    </row>
    <row r="1009">
      <c r="A1009" s="131"/>
      <c r="B1009" s="75"/>
      <c r="C1009" s="75"/>
      <c r="D1009" s="75"/>
      <c r="E1009" s="66"/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66"/>
      <c r="R1009" s="66"/>
      <c r="S1009" s="66"/>
      <c r="T1009" s="66"/>
      <c r="U1009" s="66"/>
      <c r="V1009" s="66"/>
      <c r="W1009" s="66"/>
      <c r="X1009" s="66"/>
      <c r="Y1009" s="66"/>
      <c r="Z1009" s="66"/>
      <c r="AA1009" s="66"/>
      <c r="AB1009" s="66"/>
      <c r="AC1009" s="66"/>
      <c r="AD1009" s="66"/>
    </row>
    <row r="1010">
      <c r="A1010" s="131"/>
      <c r="B1010" s="75"/>
      <c r="C1010" s="75"/>
      <c r="D1010" s="75"/>
      <c r="E1010" s="66"/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66"/>
      <c r="R1010" s="66"/>
      <c r="S1010" s="66"/>
      <c r="T1010" s="66"/>
      <c r="U1010" s="66"/>
      <c r="V1010" s="66"/>
      <c r="W1010" s="66"/>
      <c r="X1010" s="66"/>
      <c r="Y1010" s="66"/>
      <c r="Z1010" s="66"/>
      <c r="AA1010" s="66"/>
      <c r="AB1010" s="66"/>
      <c r="AC1010" s="66"/>
      <c r="AD1010" s="66"/>
    </row>
    <row r="1011">
      <c r="A1011" s="131"/>
      <c r="B1011" s="75"/>
      <c r="C1011" s="75"/>
      <c r="D1011" s="75"/>
      <c r="E1011" s="66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66"/>
      <c r="R1011" s="66"/>
      <c r="S1011" s="66"/>
      <c r="T1011" s="66"/>
      <c r="U1011" s="66"/>
      <c r="V1011" s="66"/>
      <c r="W1011" s="66"/>
      <c r="X1011" s="66"/>
      <c r="Y1011" s="66"/>
      <c r="Z1011" s="66"/>
      <c r="AA1011" s="66"/>
      <c r="AB1011" s="66"/>
      <c r="AC1011" s="66"/>
      <c r="AD1011" s="66"/>
    </row>
    <row r="1012">
      <c r="A1012" s="131"/>
      <c r="B1012" s="75"/>
      <c r="C1012" s="75"/>
      <c r="D1012" s="75"/>
      <c r="E1012" s="66"/>
      <c r="F1012" s="66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66"/>
      <c r="R1012" s="66"/>
      <c r="S1012" s="66"/>
      <c r="T1012" s="66"/>
      <c r="U1012" s="66"/>
      <c r="V1012" s="66"/>
      <c r="W1012" s="66"/>
      <c r="X1012" s="66"/>
      <c r="Y1012" s="66"/>
      <c r="Z1012" s="66"/>
      <c r="AA1012" s="66"/>
      <c r="AB1012" s="66"/>
      <c r="AC1012" s="66"/>
      <c r="AD1012" s="66"/>
    </row>
    <row r="1013">
      <c r="A1013" s="131"/>
      <c r="B1013" s="75"/>
      <c r="C1013" s="75"/>
      <c r="D1013" s="75"/>
      <c r="E1013" s="66"/>
      <c r="F1013" s="66"/>
      <c r="G1013" s="66"/>
      <c r="H1013" s="66"/>
      <c r="I1013" s="66"/>
      <c r="J1013" s="66"/>
      <c r="K1013" s="66"/>
      <c r="L1013" s="66"/>
      <c r="M1013" s="66"/>
      <c r="N1013" s="66"/>
      <c r="O1013" s="66"/>
      <c r="P1013" s="66"/>
      <c r="Q1013" s="66"/>
      <c r="R1013" s="66"/>
      <c r="S1013" s="66"/>
      <c r="T1013" s="66"/>
      <c r="U1013" s="66"/>
      <c r="V1013" s="66"/>
      <c r="W1013" s="66"/>
      <c r="X1013" s="66"/>
      <c r="Y1013" s="66"/>
      <c r="Z1013" s="66"/>
      <c r="AA1013" s="66"/>
      <c r="AB1013" s="66"/>
      <c r="AC1013" s="66"/>
      <c r="AD1013" s="66"/>
    </row>
    <row r="1014">
      <c r="A1014" s="131"/>
      <c r="B1014" s="75"/>
      <c r="C1014" s="75"/>
      <c r="D1014" s="75"/>
      <c r="E1014" s="66"/>
      <c r="F1014" s="66"/>
      <c r="G1014" s="66"/>
      <c r="H1014" s="66"/>
      <c r="I1014" s="66"/>
      <c r="J1014" s="66"/>
      <c r="K1014" s="66"/>
      <c r="L1014" s="66"/>
      <c r="M1014" s="66"/>
      <c r="N1014" s="66"/>
      <c r="O1014" s="66"/>
      <c r="P1014" s="66"/>
      <c r="Q1014" s="66"/>
      <c r="R1014" s="66"/>
      <c r="S1014" s="66"/>
      <c r="T1014" s="66"/>
      <c r="U1014" s="66"/>
      <c r="V1014" s="66"/>
      <c r="W1014" s="66"/>
      <c r="X1014" s="66"/>
      <c r="Y1014" s="66"/>
      <c r="Z1014" s="66"/>
      <c r="AA1014" s="66"/>
      <c r="AB1014" s="66"/>
      <c r="AC1014" s="66"/>
      <c r="AD1014" s="66"/>
    </row>
    <row r="1015">
      <c r="A1015" s="131"/>
      <c r="B1015" s="75"/>
      <c r="C1015" s="75"/>
      <c r="D1015" s="75"/>
      <c r="E1015" s="66"/>
      <c r="F1015" s="66"/>
      <c r="G1015" s="66"/>
      <c r="H1015" s="66"/>
      <c r="I1015" s="66"/>
      <c r="J1015" s="66"/>
      <c r="K1015" s="66"/>
      <c r="L1015" s="66"/>
      <c r="M1015" s="66"/>
      <c r="N1015" s="66"/>
      <c r="O1015" s="66"/>
      <c r="P1015" s="66"/>
      <c r="Q1015" s="66"/>
      <c r="R1015" s="66"/>
      <c r="S1015" s="66"/>
      <c r="T1015" s="66"/>
      <c r="U1015" s="66"/>
      <c r="V1015" s="66"/>
      <c r="W1015" s="66"/>
      <c r="X1015" s="66"/>
      <c r="Y1015" s="66"/>
      <c r="Z1015" s="66"/>
      <c r="AA1015" s="66"/>
      <c r="AB1015" s="66"/>
      <c r="AC1015" s="66"/>
      <c r="AD1015" s="66"/>
    </row>
    <row r="1016">
      <c r="A1016" s="131"/>
      <c r="B1016" s="75"/>
      <c r="C1016" s="75"/>
      <c r="D1016" s="75"/>
      <c r="E1016" s="66"/>
      <c r="F1016" s="66"/>
      <c r="G1016" s="66"/>
      <c r="H1016" s="66"/>
      <c r="I1016" s="66"/>
      <c r="J1016" s="66"/>
      <c r="K1016" s="66"/>
      <c r="L1016" s="66"/>
      <c r="M1016" s="66"/>
      <c r="N1016" s="66"/>
      <c r="O1016" s="66"/>
      <c r="P1016" s="66"/>
      <c r="Q1016" s="66"/>
      <c r="R1016" s="66"/>
      <c r="S1016" s="66"/>
      <c r="T1016" s="66"/>
      <c r="U1016" s="66"/>
      <c r="V1016" s="66"/>
      <c r="W1016" s="66"/>
      <c r="X1016" s="66"/>
      <c r="Y1016" s="66"/>
      <c r="Z1016" s="66"/>
      <c r="AA1016" s="66"/>
      <c r="AB1016" s="66"/>
      <c r="AC1016" s="66"/>
      <c r="AD1016" s="66"/>
    </row>
    <row r="1017">
      <c r="A1017" s="131"/>
      <c r="B1017" s="75"/>
      <c r="C1017" s="75"/>
      <c r="D1017" s="75"/>
      <c r="E1017" s="66"/>
      <c r="F1017" s="66"/>
      <c r="G1017" s="66"/>
      <c r="H1017" s="66"/>
      <c r="I1017" s="66"/>
      <c r="J1017" s="66"/>
      <c r="K1017" s="66"/>
      <c r="L1017" s="66"/>
      <c r="M1017" s="66"/>
      <c r="N1017" s="66"/>
      <c r="O1017" s="66"/>
      <c r="P1017" s="66"/>
      <c r="Q1017" s="66"/>
      <c r="R1017" s="66"/>
      <c r="S1017" s="66"/>
      <c r="T1017" s="66"/>
      <c r="U1017" s="66"/>
      <c r="V1017" s="66"/>
      <c r="W1017" s="66"/>
      <c r="X1017" s="66"/>
      <c r="Y1017" s="66"/>
      <c r="Z1017" s="66"/>
      <c r="AA1017" s="66"/>
      <c r="AB1017" s="66"/>
      <c r="AC1017" s="66"/>
      <c r="AD1017" s="66"/>
    </row>
    <row r="1018">
      <c r="A1018" s="131"/>
      <c r="B1018" s="75"/>
      <c r="C1018" s="75"/>
      <c r="D1018" s="75"/>
      <c r="E1018" s="66"/>
      <c r="F1018" s="66"/>
      <c r="G1018" s="66"/>
      <c r="H1018" s="66"/>
      <c r="I1018" s="66"/>
      <c r="J1018" s="66"/>
      <c r="K1018" s="66"/>
      <c r="L1018" s="66"/>
      <c r="M1018" s="66"/>
      <c r="N1018" s="66"/>
      <c r="O1018" s="66"/>
      <c r="P1018" s="66"/>
      <c r="Q1018" s="66"/>
      <c r="R1018" s="66"/>
      <c r="S1018" s="66"/>
      <c r="T1018" s="66"/>
      <c r="U1018" s="66"/>
      <c r="V1018" s="66"/>
      <c r="W1018" s="66"/>
      <c r="X1018" s="66"/>
      <c r="Y1018" s="66"/>
      <c r="Z1018" s="66"/>
      <c r="AA1018" s="66"/>
      <c r="AB1018" s="66"/>
      <c r="AC1018" s="66"/>
      <c r="AD1018" s="66"/>
    </row>
    <row r="1019">
      <c r="A1019" s="131"/>
      <c r="B1019" s="75"/>
      <c r="C1019" s="75"/>
      <c r="D1019" s="75"/>
      <c r="E1019" s="66"/>
      <c r="F1019" s="66"/>
      <c r="G1019" s="66"/>
      <c r="H1019" s="66"/>
      <c r="I1019" s="66"/>
      <c r="J1019" s="66"/>
      <c r="K1019" s="66"/>
      <c r="L1019" s="66"/>
      <c r="M1019" s="66"/>
      <c r="N1019" s="66"/>
      <c r="O1019" s="66"/>
      <c r="P1019" s="66"/>
      <c r="Q1019" s="66"/>
      <c r="R1019" s="66"/>
      <c r="S1019" s="66"/>
      <c r="T1019" s="66"/>
      <c r="U1019" s="66"/>
      <c r="V1019" s="66"/>
      <c r="W1019" s="66"/>
      <c r="X1019" s="66"/>
      <c r="Y1019" s="66"/>
      <c r="Z1019" s="66"/>
      <c r="AA1019" s="66"/>
      <c r="AB1019" s="66"/>
      <c r="AC1019" s="66"/>
      <c r="AD1019" s="66"/>
    </row>
    <row r="1020">
      <c r="A1020" s="131"/>
      <c r="B1020" s="75"/>
      <c r="C1020" s="75"/>
      <c r="D1020" s="75"/>
      <c r="E1020" s="66"/>
      <c r="F1020" s="66"/>
      <c r="G1020" s="66"/>
      <c r="H1020" s="66"/>
      <c r="I1020" s="66"/>
      <c r="J1020" s="66"/>
      <c r="K1020" s="66"/>
      <c r="L1020" s="66"/>
      <c r="M1020" s="66"/>
      <c r="N1020" s="66"/>
      <c r="O1020" s="66"/>
      <c r="P1020" s="66"/>
      <c r="Q1020" s="66"/>
      <c r="R1020" s="66"/>
      <c r="S1020" s="66"/>
      <c r="T1020" s="66"/>
      <c r="U1020" s="66"/>
      <c r="V1020" s="66"/>
      <c r="W1020" s="66"/>
      <c r="X1020" s="66"/>
      <c r="Y1020" s="66"/>
      <c r="Z1020" s="66"/>
      <c r="AA1020" s="66"/>
      <c r="AB1020" s="66"/>
      <c r="AC1020" s="66"/>
      <c r="AD1020" s="66"/>
    </row>
    <row r="1021">
      <c r="A1021" s="131"/>
      <c r="B1021" s="75"/>
      <c r="C1021" s="75"/>
      <c r="D1021" s="75"/>
      <c r="E1021" s="66"/>
      <c r="F1021" s="66"/>
      <c r="G1021" s="66"/>
      <c r="H1021" s="66"/>
      <c r="I1021" s="66"/>
      <c r="J1021" s="66"/>
      <c r="K1021" s="66"/>
      <c r="L1021" s="66"/>
      <c r="M1021" s="66"/>
      <c r="N1021" s="66"/>
      <c r="O1021" s="66"/>
      <c r="P1021" s="66"/>
      <c r="Q1021" s="66"/>
      <c r="R1021" s="66"/>
      <c r="S1021" s="66"/>
      <c r="T1021" s="66"/>
      <c r="U1021" s="66"/>
      <c r="V1021" s="66"/>
      <c r="W1021" s="66"/>
      <c r="X1021" s="66"/>
      <c r="Y1021" s="66"/>
      <c r="Z1021" s="66"/>
      <c r="AA1021" s="66"/>
      <c r="AB1021" s="66"/>
      <c r="AC1021" s="66"/>
      <c r="AD1021" s="66"/>
    </row>
    <row r="1022">
      <c r="A1022" s="131"/>
      <c r="B1022" s="75"/>
      <c r="C1022" s="75"/>
      <c r="D1022" s="75"/>
      <c r="E1022" s="66"/>
      <c r="F1022" s="66"/>
      <c r="G1022" s="66"/>
      <c r="H1022" s="66"/>
      <c r="I1022" s="66"/>
      <c r="J1022" s="66"/>
      <c r="K1022" s="66"/>
      <c r="L1022" s="66"/>
      <c r="M1022" s="66"/>
      <c r="N1022" s="66"/>
      <c r="O1022" s="66"/>
      <c r="P1022" s="66"/>
      <c r="Q1022" s="66"/>
      <c r="R1022" s="66"/>
      <c r="S1022" s="66"/>
      <c r="T1022" s="66"/>
      <c r="U1022" s="66"/>
      <c r="V1022" s="66"/>
      <c r="W1022" s="66"/>
      <c r="X1022" s="66"/>
      <c r="Y1022" s="66"/>
      <c r="Z1022" s="66"/>
      <c r="AA1022" s="66"/>
      <c r="AB1022" s="66"/>
      <c r="AC1022" s="66"/>
      <c r="AD1022" s="66"/>
    </row>
    <row r="1023">
      <c r="A1023" s="131"/>
      <c r="B1023" s="75"/>
      <c r="C1023" s="75"/>
      <c r="D1023" s="75"/>
      <c r="E1023" s="66"/>
      <c r="F1023" s="66"/>
      <c r="G1023" s="66"/>
      <c r="H1023" s="66"/>
      <c r="I1023" s="66"/>
      <c r="J1023" s="66"/>
      <c r="K1023" s="66"/>
      <c r="L1023" s="66"/>
      <c r="M1023" s="66"/>
      <c r="N1023" s="66"/>
      <c r="O1023" s="66"/>
      <c r="P1023" s="66"/>
      <c r="Q1023" s="66"/>
      <c r="R1023" s="66"/>
      <c r="S1023" s="66"/>
      <c r="T1023" s="66"/>
      <c r="U1023" s="66"/>
      <c r="V1023" s="66"/>
      <c r="W1023" s="66"/>
      <c r="X1023" s="66"/>
      <c r="Y1023" s="66"/>
      <c r="Z1023" s="66"/>
      <c r="AA1023" s="66"/>
      <c r="AB1023" s="66"/>
      <c r="AC1023" s="66"/>
      <c r="AD1023" s="66"/>
    </row>
    <row r="1024">
      <c r="A1024" s="131"/>
      <c r="B1024" s="75"/>
      <c r="C1024" s="75"/>
      <c r="D1024" s="75"/>
      <c r="E1024" s="66"/>
      <c r="F1024" s="66"/>
      <c r="G1024" s="66"/>
      <c r="H1024" s="66"/>
      <c r="I1024" s="66"/>
      <c r="J1024" s="66"/>
      <c r="K1024" s="66"/>
      <c r="L1024" s="66"/>
      <c r="M1024" s="66"/>
      <c r="N1024" s="66"/>
      <c r="O1024" s="66"/>
      <c r="P1024" s="66"/>
      <c r="Q1024" s="66"/>
      <c r="R1024" s="66"/>
      <c r="S1024" s="66"/>
      <c r="T1024" s="66"/>
      <c r="U1024" s="66"/>
      <c r="V1024" s="66"/>
      <c r="W1024" s="66"/>
      <c r="X1024" s="66"/>
      <c r="Y1024" s="66"/>
      <c r="Z1024" s="66"/>
      <c r="AA1024" s="66"/>
      <c r="AB1024" s="66"/>
      <c r="AC1024" s="66"/>
      <c r="AD1024" s="66"/>
    </row>
    <row r="1025">
      <c r="A1025" s="131"/>
      <c r="B1025" s="75"/>
      <c r="C1025" s="75"/>
      <c r="D1025" s="75"/>
      <c r="E1025" s="66"/>
      <c r="F1025" s="66"/>
      <c r="G1025" s="66"/>
      <c r="H1025" s="66"/>
      <c r="I1025" s="66"/>
      <c r="J1025" s="66"/>
      <c r="K1025" s="66"/>
      <c r="L1025" s="66"/>
      <c r="M1025" s="66"/>
      <c r="N1025" s="66"/>
      <c r="O1025" s="66"/>
      <c r="P1025" s="66"/>
      <c r="Q1025" s="66"/>
      <c r="R1025" s="66"/>
      <c r="S1025" s="66"/>
      <c r="T1025" s="66"/>
      <c r="U1025" s="66"/>
      <c r="V1025" s="66"/>
      <c r="W1025" s="66"/>
      <c r="X1025" s="66"/>
      <c r="Y1025" s="66"/>
      <c r="Z1025" s="66"/>
      <c r="AA1025" s="66"/>
      <c r="AB1025" s="66"/>
      <c r="AC1025" s="66"/>
      <c r="AD1025" s="66"/>
    </row>
    <row r="1026">
      <c r="A1026" s="131"/>
      <c r="B1026" s="75"/>
      <c r="C1026" s="75"/>
      <c r="D1026" s="75"/>
      <c r="E1026" s="66"/>
      <c r="F1026" s="66"/>
      <c r="G1026" s="66"/>
      <c r="H1026" s="66"/>
      <c r="I1026" s="66"/>
      <c r="J1026" s="66"/>
      <c r="K1026" s="66"/>
      <c r="L1026" s="66"/>
      <c r="M1026" s="66"/>
      <c r="N1026" s="66"/>
      <c r="O1026" s="66"/>
      <c r="P1026" s="66"/>
      <c r="Q1026" s="66"/>
      <c r="R1026" s="66"/>
      <c r="S1026" s="66"/>
      <c r="T1026" s="66"/>
      <c r="U1026" s="66"/>
      <c r="V1026" s="66"/>
      <c r="W1026" s="66"/>
      <c r="X1026" s="66"/>
      <c r="Y1026" s="66"/>
      <c r="Z1026" s="66"/>
      <c r="AA1026" s="66"/>
      <c r="AB1026" s="66"/>
      <c r="AC1026" s="66"/>
      <c r="AD1026" s="66"/>
    </row>
    <row r="1027">
      <c r="A1027" s="131"/>
      <c r="B1027" s="75"/>
      <c r="C1027" s="75"/>
      <c r="D1027" s="75"/>
      <c r="E1027" s="66"/>
      <c r="F1027" s="66"/>
      <c r="G1027" s="66"/>
      <c r="H1027" s="66"/>
      <c r="I1027" s="66"/>
      <c r="J1027" s="66"/>
      <c r="K1027" s="66"/>
      <c r="L1027" s="66"/>
      <c r="M1027" s="66"/>
      <c r="N1027" s="66"/>
      <c r="O1027" s="66"/>
      <c r="P1027" s="66"/>
      <c r="Q1027" s="66"/>
      <c r="R1027" s="66"/>
      <c r="S1027" s="66"/>
      <c r="T1027" s="66"/>
      <c r="U1027" s="66"/>
      <c r="V1027" s="66"/>
      <c r="W1027" s="66"/>
      <c r="X1027" s="66"/>
      <c r="Y1027" s="66"/>
      <c r="Z1027" s="66"/>
      <c r="AA1027" s="66"/>
      <c r="AB1027" s="66"/>
      <c r="AC1027" s="66"/>
      <c r="AD1027" s="66"/>
    </row>
    <row r="1028">
      <c r="A1028" s="131"/>
      <c r="B1028" s="75"/>
      <c r="C1028" s="75"/>
      <c r="D1028" s="75"/>
      <c r="E1028" s="66"/>
      <c r="F1028" s="66"/>
      <c r="G1028" s="66"/>
      <c r="H1028" s="66"/>
      <c r="I1028" s="66"/>
      <c r="J1028" s="66"/>
      <c r="K1028" s="66"/>
      <c r="L1028" s="66"/>
      <c r="M1028" s="66"/>
      <c r="N1028" s="66"/>
      <c r="O1028" s="66"/>
      <c r="P1028" s="66"/>
      <c r="Q1028" s="66"/>
      <c r="R1028" s="66"/>
      <c r="S1028" s="66"/>
      <c r="T1028" s="66"/>
      <c r="U1028" s="66"/>
      <c r="V1028" s="66"/>
      <c r="W1028" s="66"/>
      <c r="X1028" s="66"/>
      <c r="Y1028" s="66"/>
      <c r="Z1028" s="66"/>
      <c r="AA1028" s="66"/>
      <c r="AB1028" s="66"/>
      <c r="AC1028" s="66"/>
      <c r="AD1028" s="66"/>
    </row>
    <row r="1029">
      <c r="A1029" s="131"/>
      <c r="B1029" s="75"/>
      <c r="C1029" s="75"/>
      <c r="D1029" s="75"/>
      <c r="E1029" s="66"/>
      <c r="F1029" s="66"/>
      <c r="G1029" s="66"/>
      <c r="H1029" s="66"/>
      <c r="I1029" s="66"/>
      <c r="J1029" s="66"/>
      <c r="K1029" s="66"/>
      <c r="L1029" s="66"/>
      <c r="M1029" s="66"/>
      <c r="N1029" s="66"/>
      <c r="O1029" s="66"/>
      <c r="P1029" s="66"/>
      <c r="Q1029" s="66"/>
      <c r="R1029" s="66"/>
      <c r="S1029" s="66"/>
      <c r="T1029" s="66"/>
      <c r="U1029" s="66"/>
      <c r="V1029" s="66"/>
      <c r="W1029" s="66"/>
      <c r="X1029" s="66"/>
      <c r="Y1029" s="66"/>
      <c r="Z1029" s="66"/>
      <c r="AA1029" s="66"/>
      <c r="AB1029" s="66"/>
      <c r="AC1029" s="66"/>
      <c r="AD1029" s="66"/>
    </row>
    <row r="1030">
      <c r="A1030" s="131"/>
      <c r="B1030" s="75"/>
      <c r="C1030" s="75"/>
      <c r="D1030" s="75"/>
      <c r="E1030" s="66"/>
      <c r="F1030" s="66"/>
      <c r="G1030" s="66"/>
      <c r="H1030" s="66"/>
      <c r="I1030" s="66"/>
      <c r="J1030" s="66"/>
      <c r="K1030" s="66"/>
      <c r="L1030" s="66"/>
      <c r="M1030" s="66"/>
      <c r="N1030" s="66"/>
      <c r="O1030" s="66"/>
      <c r="P1030" s="66"/>
      <c r="Q1030" s="66"/>
      <c r="R1030" s="66"/>
      <c r="S1030" s="66"/>
      <c r="T1030" s="66"/>
      <c r="U1030" s="66"/>
      <c r="V1030" s="66"/>
      <c r="W1030" s="66"/>
      <c r="X1030" s="66"/>
      <c r="Y1030" s="66"/>
      <c r="Z1030" s="66"/>
      <c r="AA1030" s="66"/>
      <c r="AB1030" s="66"/>
      <c r="AC1030" s="66"/>
      <c r="AD1030" s="66"/>
    </row>
    <row r="1031">
      <c r="A1031" s="131"/>
      <c r="B1031" s="75"/>
      <c r="C1031" s="75"/>
      <c r="D1031" s="75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66"/>
      <c r="P1031" s="66"/>
      <c r="Q1031" s="66"/>
      <c r="R1031" s="66"/>
      <c r="S1031" s="66"/>
      <c r="T1031" s="66"/>
      <c r="U1031" s="66"/>
      <c r="V1031" s="66"/>
      <c r="W1031" s="66"/>
      <c r="X1031" s="66"/>
      <c r="Y1031" s="66"/>
      <c r="Z1031" s="66"/>
      <c r="AA1031" s="66"/>
      <c r="AB1031" s="66"/>
      <c r="AC1031" s="66"/>
      <c r="AD1031" s="66"/>
    </row>
    <row r="1032">
      <c r="A1032" s="131"/>
      <c r="B1032" s="75"/>
      <c r="C1032" s="75"/>
      <c r="D1032" s="75"/>
      <c r="E1032" s="66"/>
      <c r="F1032" s="66"/>
      <c r="G1032" s="66"/>
      <c r="H1032" s="66"/>
      <c r="I1032" s="66"/>
      <c r="J1032" s="66"/>
      <c r="K1032" s="66"/>
      <c r="L1032" s="66"/>
      <c r="M1032" s="66"/>
      <c r="N1032" s="66"/>
      <c r="O1032" s="66"/>
      <c r="P1032" s="66"/>
      <c r="Q1032" s="66"/>
      <c r="R1032" s="66"/>
      <c r="S1032" s="66"/>
      <c r="T1032" s="66"/>
      <c r="U1032" s="66"/>
      <c r="V1032" s="66"/>
      <c r="W1032" s="66"/>
      <c r="X1032" s="66"/>
      <c r="Y1032" s="66"/>
      <c r="Z1032" s="66"/>
      <c r="AA1032" s="66"/>
      <c r="AB1032" s="66"/>
      <c r="AC1032" s="66"/>
      <c r="AD1032" s="66"/>
    </row>
    <row r="1033">
      <c r="A1033" s="131"/>
      <c r="B1033" s="75"/>
      <c r="C1033" s="75"/>
      <c r="D1033" s="75"/>
      <c r="E1033" s="66"/>
      <c r="F1033" s="66"/>
      <c r="G1033" s="66"/>
      <c r="H1033" s="66"/>
      <c r="I1033" s="66"/>
      <c r="J1033" s="66"/>
      <c r="K1033" s="66"/>
      <c r="L1033" s="66"/>
      <c r="M1033" s="66"/>
      <c r="N1033" s="66"/>
      <c r="O1033" s="66"/>
      <c r="P1033" s="66"/>
      <c r="Q1033" s="66"/>
      <c r="R1033" s="66"/>
      <c r="S1033" s="66"/>
      <c r="T1033" s="66"/>
      <c r="U1033" s="66"/>
      <c r="V1033" s="66"/>
      <c r="W1033" s="66"/>
      <c r="X1033" s="66"/>
      <c r="Y1033" s="66"/>
      <c r="Z1033" s="66"/>
      <c r="AA1033" s="66"/>
      <c r="AB1033" s="66"/>
      <c r="AC1033" s="66"/>
      <c r="AD1033" s="66"/>
    </row>
    <row r="1034">
      <c r="A1034" s="131"/>
      <c r="B1034" s="75"/>
      <c r="C1034" s="75"/>
      <c r="D1034" s="75"/>
      <c r="E1034" s="66"/>
      <c r="F1034" s="66"/>
      <c r="G1034" s="66"/>
      <c r="H1034" s="66"/>
      <c r="I1034" s="66"/>
      <c r="J1034" s="66"/>
      <c r="K1034" s="66"/>
      <c r="L1034" s="66"/>
      <c r="M1034" s="66"/>
      <c r="N1034" s="66"/>
      <c r="O1034" s="66"/>
      <c r="P1034" s="66"/>
      <c r="Q1034" s="66"/>
      <c r="R1034" s="66"/>
      <c r="S1034" s="66"/>
      <c r="T1034" s="66"/>
      <c r="U1034" s="66"/>
      <c r="V1034" s="66"/>
      <c r="W1034" s="66"/>
      <c r="X1034" s="66"/>
      <c r="Y1034" s="66"/>
      <c r="Z1034" s="66"/>
      <c r="AA1034" s="66"/>
      <c r="AB1034" s="66"/>
      <c r="AC1034" s="66"/>
      <c r="AD1034" s="66"/>
    </row>
    <row r="1035">
      <c r="A1035" s="131"/>
      <c r="B1035" s="75"/>
      <c r="C1035" s="75"/>
      <c r="D1035" s="75"/>
      <c r="E1035" s="66"/>
      <c r="F1035" s="66"/>
      <c r="G1035" s="66"/>
      <c r="H1035" s="66"/>
      <c r="I1035" s="66"/>
      <c r="J1035" s="66"/>
      <c r="K1035" s="66"/>
      <c r="L1035" s="66"/>
      <c r="M1035" s="66"/>
      <c r="N1035" s="66"/>
      <c r="O1035" s="66"/>
      <c r="P1035" s="66"/>
      <c r="Q1035" s="66"/>
      <c r="R1035" s="66"/>
      <c r="S1035" s="66"/>
      <c r="T1035" s="66"/>
      <c r="U1035" s="66"/>
      <c r="V1035" s="66"/>
      <c r="W1035" s="66"/>
      <c r="X1035" s="66"/>
      <c r="Y1035" s="66"/>
      <c r="Z1035" s="66"/>
      <c r="AA1035" s="66"/>
      <c r="AB1035" s="66"/>
      <c r="AC1035" s="66"/>
      <c r="AD1035" s="66"/>
    </row>
    <row r="1036">
      <c r="A1036" s="131"/>
      <c r="B1036" s="75"/>
      <c r="C1036" s="75"/>
      <c r="D1036" s="75"/>
      <c r="E1036" s="66"/>
      <c r="F1036" s="66"/>
      <c r="G1036" s="66"/>
      <c r="H1036" s="66"/>
      <c r="I1036" s="66"/>
      <c r="J1036" s="66"/>
      <c r="K1036" s="66"/>
      <c r="L1036" s="66"/>
      <c r="M1036" s="66"/>
      <c r="N1036" s="66"/>
      <c r="O1036" s="66"/>
      <c r="P1036" s="66"/>
      <c r="Q1036" s="66"/>
      <c r="R1036" s="66"/>
      <c r="S1036" s="66"/>
      <c r="T1036" s="66"/>
      <c r="U1036" s="66"/>
      <c r="V1036" s="66"/>
      <c r="W1036" s="66"/>
      <c r="X1036" s="66"/>
      <c r="Y1036" s="66"/>
      <c r="Z1036" s="66"/>
      <c r="AA1036" s="66"/>
      <c r="AB1036" s="66"/>
      <c r="AC1036" s="66"/>
      <c r="AD1036" s="66"/>
    </row>
    <row r="1037">
      <c r="A1037" s="131"/>
      <c r="B1037" s="75"/>
      <c r="C1037" s="75"/>
      <c r="D1037" s="75"/>
      <c r="E1037" s="66"/>
      <c r="F1037" s="66"/>
      <c r="G1037" s="66"/>
      <c r="H1037" s="66"/>
      <c r="I1037" s="66"/>
      <c r="J1037" s="66"/>
      <c r="K1037" s="66"/>
      <c r="L1037" s="66"/>
      <c r="M1037" s="66"/>
      <c r="N1037" s="66"/>
      <c r="O1037" s="66"/>
      <c r="P1037" s="66"/>
      <c r="Q1037" s="66"/>
      <c r="R1037" s="66"/>
      <c r="S1037" s="66"/>
      <c r="T1037" s="66"/>
      <c r="U1037" s="66"/>
      <c r="V1037" s="66"/>
      <c r="W1037" s="66"/>
      <c r="X1037" s="66"/>
      <c r="Y1037" s="66"/>
      <c r="Z1037" s="66"/>
      <c r="AA1037" s="66"/>
      <c r="AB1037" s="66"/>
      <c r="AC1037" s="66"/>
      <c r="AD1037" s="66"/>
    </row>
    <row r="1038">
      <c r="A1038" s="131"/>
      <c r="B1038" s="75"/>
      <c r="C1038" s="75"/>
      <c r="D1038" s="75"/>
      <c r="E1038" s="66"/>
      <c r="F1038" s="66"/>
      <c r="G1038" s="66"/>
      <c r="H1038" s="66"/>
      <c r="I1038" s="66"/>
      <c r="J1038" s="66"/>
      <c r="K1038" s="66"/>
      <c r="L1038" s="66"/>
      <c r="M1038" s="66"/>
      <c r="N1038" s="66"/>
      <c r="O1038" s="66"/>
      <c r="P1038" s="66"/>
      <c r="Q1038" s="66"/>
      <c r="R1038" s="66"/>
      <c r="S1038" s="66"/>
      <c r="T1038" s="66"/>
      <c r="U1038" s="66"/>
      <c r="V1038" s="66"/>
      <c r="W1038" s="66"/>
      <c r="X1038" s="66"/>
      <c r="Y1038" s="66"/>
      <c r="Z1038" s="66"/>
      <c r="AA1038" s="66"/>
      <c r="AB1038" s="66"/>
      <c r="AC1038" s="66"/>
      <c r="AD1038" s="66"/>
    </row>
    <row r="1039">
      <c r="A1039" s="131"/>
      <c r="B1039" s="75"/>
      <c r="C1039" s="75"/>
      <c r="D1039" s="75"/>
      <c r="E1039" s="66"/>
      <c r="F1039" s="66"/>
      <c r="G1039" s="66"/>
      <c r="H1039" s="66"/>
      <c r="I1039" s="66"/>
      <c r="J1039" s="66"/>
      <c r="K1039" s="66"/>
      <c r="L1039" s="66"/>
      <c r="M1039" s="66"/>
      <c r="N1039" s="66"/>
      <c r="O1039" s="66"/>
      <c r="P1039" s="66"/>
      <c r="Q1039" s="66"/>
      <c r="R1039" s="66"/>
      <c r="S1039" s="66"/>
      <c r="T1039" s="66"/>
      <c r="U1039" s="66"/>
      <c r="V1039" s="66"/>
      <c r="W1039" s="66"/>
      <c r="X1039" s="66"/>
      <c r="Y1039" s="66"/>
      <c r="Z1039" s="66"/>
      <c r="AA1039" s="66"/>
      <c r="AB1039" s="66"/>
      <c r="AC1039" s="66"/>
      <c r="AD1039" s="66"/>
    </row>
    <row r="1040">
      <c r="A1040" s="131"/>
      <c r="B1040" s="75"/>
      <c r="C1040" s="75"/>
      <c r="D1040" s="75"/>
      <c r="E1040" s="66"/>
      <c r="F1040" s="66"/>
      <c r="G1040" s="66"/>
      <c r="H1040" s="66"/>
      <c r="I1040" s="66"/>
      <c r="J1040" s="66"/>
      <c r="K1040" s="66"/>
      <c r="L1040" s="66"/>
      <c r="M1040" s="66"/>
      <c r="N1040" s="66"/>
      <c r="O1040" s="66"/>
      <c r="P1040" s="66"/>
      <c r="Q1040" s="66"/>
      <c r="R1040" s="66"/>
      <c r="S1040" s="66"/>
      <c r="T1040" s="66"/>
      <c r="U1040" s="66"/>
      <c r="V1040" s="66"/>
      <c r="W1040" s="66"/>
      <c r="X1040" s="66"/>
      <c r="Y1040" s="66"/>
      <c r="Z1040" s="66"/>
      <c r="AA1040" s="66"/>
      <c r="AB1040" s="66"/>
      <c r="AC1040" s="66"/>
      <c r="AD1040" s="66"/>
    </row>
    <row r="1041">
      <c r="A1041" s="131"/>
      <c r="B1041" s="75"/>
      <c r="C1041" s="75"/>
      <c r="D1041" s="75"/>
      <c r="E1041" s="66"/>
      <c r="F1041" s="66"/>
      <c r="G1041" s="66"/>
      <c r="H1041" s="66"/>
      <c r="I1041" s="66"/>
      <c r="J1041" s="66"/>
      <c r="K1041" s="66"/>
      <c r="L1041" s="66"/>
      <c r="M1041" s="66"/>
      <c r="N1041" s="66"/>
      <c r="O1041" s="66"/>
      <c r="P1041" s="66"/>
      <c r="Q1041" s="66"/>
      <c r="R1041" s="66"/>
      <c r="S1041" s="66"/>
      <c r="T1041" s="66"/>
      <c r="U1041" s="66"/>
      <c r="V1041" s="66"/>
      <c r="W1041" s="66"/>
      <c r="X1041" s="66"/>
      <c r="Y1041" s="66"/>
      <c r="Z1041" s="66"/>
      <c r="AA1041" s="66"/>
      <c r="AB1041" s="66"/>
      <c r="AC1041" s="66"/>
      <c r="AD1041" s="66"/>
    </row>
    <row r="1042">
      <c r="A1042" s="131"/>
      <c r="B1042" s="75"/>
      <c r="C1042" s="75"/>
      <c r="D1042" s="75"/>
      <c r="E1042" s="66"/>
      <c r="F1042" s="66"/>
      <c r="G1042" s="66"/>
      <c r="H1042" s="66"/>
      <c r="I1042" s="66"/>
      <c r="J1042" s="66"/>
      <c r="K1042" s="66"/>
      <c r="L1042" s="66"/>
      <c r="M1042" s="66"/>
      <c r="N1042" s="66"/>
      <c r="O1042" s="66"/>
      <c r="P1042" s="66"/>
      <c r="Q1042" s="66"/>
      <c r="R1042" s="66"/>
      <c r="S1042" s="66"/>
      <c r="T1042" s="66"/>
      <c r="U1042" s="66"/>
      <c r="V1042" s="66"/>
      <c r="W1042" s="66"/>
      <c r="X1042" s="66"/>
      <c r="Y1042" s="66"/>
      <c r="Z1042" s="66"/>
      <c r="AA1042" s="66"/>
      <c r="AB1042" s="66"/>
      <c r="AC1042" s="66"/>
      <c r="AD1042" s="66"/>
    </row>
    <row r="1043">
      <c r="A1043" s="131"/>
      <c r="B1043" s="75"/>
      <c r="C1043" s="75"/>
      <c r="D1043" s="75"/>
      <c r="E1043" s="66"/>
      <c r="F1043" s="66"/>
      <c r="G1043" s="66"/>
      <c r="H1043" s="66"/>
      <c r="I1043" s="66"/>
      <c r="J1043" s="66"/>
      <c r="K1043" s="66"/>
      <c r="L1043" s="66"/>
      <c r="M1043" s="66"/>
      <c r="N1043" s="66"/>
      <c r="O1043" s="66"/>
      <c r="P1043" s="66"/>
      <c r="Q1043" s="66"/>
      <c r="R1043" s="66"/>
      <c r="S1043" s="66"/>
      <c r="T1043" s="66"/>
      <c r="U1043" s="66"/>
      <c r="V1043" s="66"/>
      <c r="W1043" s="66"/>
      <c r="X1043" s="66"/>
      <c r="Y1043" s="66"/>
      <c r="Z1043" s="66"/>
      <c r="AA1043" s="66"/>
      <c r="AB1043" s="66"/>
      <c r="AC1043" s="66"/>
      <c r="AD1043" s="66"/>
    </row>
    <row r="1044">
      <c r="A1044" s="131"/>
      <c r="B1044" s="75"/>
      <c r="C1044" s="75"/>
      <c r="D1044" s="75"/>
      <c r="E1044" s="66"/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66"/>
      <c r="R1044" s="66"/>
      <c r="S1044" s="66"/>
      <c r="T1044" s="66"/>
      <c r="U1044" s="66"/>
      <c r="V1044" s="66"/>
      <c r="W1044" s="66"/>
      <c r="X1044" s="66"/>
      <c r="Y1044" s="66"/>
      <c r="Z1044" s="66"/>
      <c r="AA1044" s="66"/>
      <c r="AB1044" s="66"/>
      <c r="AC1044" s="66"/>
      <c r="AD1044" s="66"/>
    </row>
    <row r="1045">
      <c r="A1045" s="131"/>
      <c r="B1045" s="75"/>
      <c r="C1045" s="75"/>
      <c r="D1045" s="75"/>
      <c r="E1045" s="66"/>
      <c r="F1045" s="66"/>
      <c r="G1045" s="66"/>
      <c r="H1045" s="66"/>
      <c r="I1045" s="66"/>
      <c r="J1045" s="66"/>
      <c r="K1045" s="66"/>
      <c r="L1045" s="66"/>
      <c r="M1045" s="66"/>
      <c r="N1045" s="66"/>
      <c r="O1045" s="66"/>
      <c r="P1045" s="66"/>
      <c r="Q1045" s="66"/>
      <c r="R1045" s="66"/>
      <c r="S1045" s="66"/>
      <c r="T1045" s="66"/>
      <c r="U1045" s="66"/>
      <c r="V1045" s="66"/>
      <c r="W1045" s="66"/>
      <c r="X1045" s="66"/>
      <c r="Y1045" s="66"/>
      <c r="Z1045" s="66"/>
      <c r="AA1045" s="66"/>
      <c r="AB1045" s="66"/>
      <c r="AC1045" s="66"/>
      <c r="AD1045" s="66"/>
    </row>
    <row r="1046">
      <c r="A1046" s="131"/>
      <c r="B1046" s="75"/>
      <c r="C1046" s="75"/>
      <c r="D1046" s="75"/>
      <c r="E1046" s="66"/>
      <c r="F1046" s="66"/>
      <c r="G1046" s="66"/>
      <c r="H1046" s="66"/>
      <c r="I1046" s="66"/>
      <c r="J1046" s="66"/>
      <c r="K1046" s="66"/>
      <c r="L1046" s="66"/>
      <c r="M1046" s="66"/>
      <c r="N1046" s="66"/>
      <c r="O1046" s="66"/>
      <c r="P1046" s="66"/>
      <c r="Q1046" s="66"/>
      <c r="R1046" s="66"/>
      <c r="S1046" s="66"/>
      <c r="T1046" s="66"/>
      <c r="U1046" s="66"/>
      <c r="V1046" s="66"/>
      <c r="W1046" s="66"/>
      <c r="X1046" s="66"/>
      <c r="Y1046" s="66"/>
      <c r="Z1046" s="66"/>
      <c r="AA1046" s="66"/>
      <c r="AB1046" s="66"/>
      <c r="AC1046" s="66"/>
      <c r="AD1046" s="66"/>
    </row>
    <row r="1047">
      <c r="A1047" s="131"/>
      <c r="B1047" s="75"/>
      <c r="C1047" s="75"/>
      <c r="D1047" s="75"/>
      <c r="E1047" s="66"/>
      <c r="F1047" s="66"/>
      <c r="G1047" s="66"/>
      <c r="H1047" s="66"/>
      <c r="I1047" s="66"/>
      <c r="J1047" s="66"/>
      <c r="K1047" s="66"/>
      <c r="L1047" s="66"/>
      <c r="M1047" s="66"/>
      <c r="N1047" s="66"/>
      <c r="O1047" s="66"/>
      <c r="P1047" s="66"/>
      <c r="Q1047" s="66"/>
      <c r="R1047" s="66"/>
      <c r="S1047" s="66"/>
      <c r="T1047" s="66"/>
      <c r="U1047" s="66"/>
      <c r="V1047" s="66"/>
      <c r="W1047" s="66"/>
      <c r="X1047" s="66"/>
      <c r="Y1047" s="66"/>
      <c r="Z1047" s="66"/>
      <c r="AA1047" s="66"/>
      <c r="AB1047" s="66"/>
      <c r="AC1047" s="66"/>
      <c r="AD1047" s="66"/>
    </row>
    <row r="1048">
      <c r="A1048" s="131"/>
      <c r="B1048" s="75"/>
      <c r="C1048" s="75"/>
      <c r="D1048" s="75"/>
      <c r="E1048" s="66"/>
      <c r="F1048" s="66"/>
      <c r="G1048" s="66"/>
      <c r="H1048" s="66"/>
      <c r="I1048" s="66"/>
      <c r="J1048" s="66"/>
      <c r="K1048" s="66"/>
      <c r="L1048" s="66"/>
      <c r="M1048" s="66"/>
      <c r="N1048" s="66"/>
      <c r="O1048" s="66"/>
      <c r="P1048" s="66"/>
      <c r="Q1048" s="66"/>
      <c r="R1048" s="66"/>
      <c r="S1048" s="66"/>
      <c r="T1048" s="66"/>
      <c r="U1048" s="66"/>
      <c r="V1048" s="66"/>
      <c r="W1048" s="66"/>
      <c r="X1048" s="66"/>
      <c r="Y1048" s="66"/>
      <c r="Z1048" s="66"/>
      <c r="AA1048" s="66"/>
      <c r="AB1048" s="66"/>
      <c r="AC1048" s="66"/>
      <c r="AD1048" s="66"/>
    </row>
    <row r="1049">
      <c r="A1049" s="131"/>
      <c r="B1049" s="75"/>
      <c r="C1049" s="75"/>
      <c r="D1049" s="75"/>
      <c r="E1049" s="66"/>
      <c r="F1049" s="66"/>
      <c r="G1049" s="66"/>
      <c r="H1049" s="66"/>
      <c r="I1049" s="66"/>
      <c r="J1049" s="66"/>
      <c r="K1049" s="66"/>
      <c r="L1049" s="66"/>
      <c r="M1049" s="66"/>
      <c r="N1049" s="66"/>
      <c r="O1049" s="66"/>
      <c r="P1049" s="66"/>
      <c r="Q1049" s="66"/>
      <c r="R1049" s="66"/>
      <c r="S1049" s="66"/>
      <c r="T1049" s="66"/>
      <c r="U1049" s="66"/>
      <c r="V1049" s="66"/>
      <c r="W1049" s="66"/>
      <c r="X1049" s="66"/>
      <c r="Y1049" s="66"/>
      <c r="Z1049" s="66"/>
      <c r="AA1049" s="66"/>
      <c r="AB1049" s="66"/>
      <c r="AC1049" s="66"/>
      <c r="AD1049" s="66"/>
    </row>
    <row r="1050">
      <c r="A1050" s="131"/>
      <c r="B1050" s="75"/>
      <c r="C1050" s="75"/>
      <c r="D1050" s="75"/>
      <c r="E1050" s="66"/>
      <c r="F1050" s="66"/>
      <c r="G1050" s="66"/>
      <c r="H1050" s="66"/>
      <c r="I1050" s="66"/>
      <c r="J1050" s="66"/>
      <c r="K1050" s="66"/>
      <c r="L1050" s="66"/>
      <c r="M1050" s="66"/>
      <c r="N1050" s="66"/>
      <c r="O1050" s="66"/>
      <c r="P1050" s="66"/>
      <c r="Q1050" s="66"/>
      <c r="R1050" s="66"/>
      <c r="S1050" s="66"/>
      <c r="T1050" s="66"/>
      <c r="U1050" s="66"/>
      <c r="V1050" s="66"/>
      <c r="W1050" s="66"/>
      <c r="X1050" s="66"/>
      <c r="Y1050" s="66"/>
      <c r="Z1050" s="66"/>
      <c r="AA1050" s="66"/>
      <c r="AB1050" s="66"/>
      <c r="AC1050" s="66"/>
      <c r="AD1050" s="66"/>
    </row>
    <row r="1051">
      <c r="A1051" s="131"/>
      <c r="B1051" s="75"/>
      <c r="C1051" s="75"/>
      <c r="D1051" s="75"/>
      <c r="E1051" s="66"/>
      <c r="F1051" s="66"/>
      <c r="G1051" s="66"/>
      <c r="H1051" s="66"/>
      <c r="I1051" s="66"/>
      <c r="J1051" s="66"/>
      <c r="K1051" s="66"/>
      <c r="L1051" s="66"/>
      <c r="M1051" s="66"/>
      <c r="N1051" s="66"/>
      <c r="O1051" s="66"/>
      <c r="P1051" s="66"/>
      <c r="Q1051" s="66"/>
      <c r="R1051" s="66"/>
      <c r="S1051" s="66"/>
      <c r="T1051" s="66"/>
      <c r="U1051" s="66"/>
      <c r="V1051" s="66"/>
      <c r="W1051" s="66"/>
      <c r="X1051" s="66"/>
      <c r="Y1051" s="66"/>
      <c r="Z1051" s="66"/>
      <c r="AA1051" s="66"/>
      <c r="AB1051" s="66"/>
      <c r="AC1051" s="66"/>
      <c r="AD1051" s="66"/>
    </row>
    <row r="1052">
      <c r="A1052" s="131"/>
      <c r="B1052" s="75"/>
      <c r="C1052" s="75"/>
      <c r="D1052" s="75"/>
      <c r="E1052" s="66"/>
      <c r="F1052" s="66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66"/>
      <c r="R1052" s="66"/>
      <c r="S1052" s="66"/>
      <c r="T1052" s="66"/>
      <c r="U1052" s="66"/>
      <c r="V1052" s="66"/>
      <c r="W1052" s="66"/>
      <c r="X1052" s="66"/>
      <c r="Y1052" s="66"/>
      <c r="Z1052" s="66"/>
      <c r="AA1052" s="66"/>
      <c r="AB1052" s="66"/>
      <c r="AC1052" s="66"/>
      <c r="AD1052" s="66"/>
    </row>
    <row r="1053">
      <c r="A1053" s="131"/>
      <c r="B1053" s="75"/>
      <c r="C1053" s="75"/>
      <c r="D1053" s="75"/>
      <c r="E1053" s="66"/>
      <c r="F1053" s="66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66"/>
      <c r="R1053" s="66"/>
      <c r="S1053" s="66"/>
      <c r="T1053" s="66"/>
      <c r="U1053" s="66"/>
      <c r="V1053" s="66"/>
      <c r="W1053" s="66"/>
      <c r="X1053" s="66"/>
      <c r="Y1053" s="66"/>
      <c r="Z1053" s="66"/>
      <c r="AA1053" s="66"/>
      <c r="AB1053" s="66"/>
      <c r="AC1053" s="66"/>
      <c r="AD1053" s="66"/>
    </row>
    <row r="1054">
      <c r="A1054" s="131"/>
      <c r="B1054" s="75"/>
      <c r="C1054" s="75"/>
      <c r="D1054" s="75"/>
      <c r="E1054" s="66"/>
      <c r="F1054" s="66"/>
      <c r="G1054" s="66"/>
      <c r="H1054" s="66"/>
      <c r="I1054" s="66"/>
      <c r="J1054" s="66"/>
      <c r="K1054" s="66"/>
      <c r="L1054" s="66"/>
      <c r="M1054" s="66"/>
      <c r="N1054" s="66"/>
      <c r="O1054" s="66"/>
      <c r="P1054" s="66"/>
      <c r="Q1054" s="66"/>
      <c r="R1054" s="66"/>
      <c r="S1054" s="66"/>
      <c r="T1054" s="66"/>
      <c r="U1054" s="66"/>
      <c r="V1054" s="66"/>
      <c r="W1054" s="66"/>
      <c r="X1054" s="66"/>
      <c r="Y1054" s="66"/>
      <c r="Z1054" s="66"/>
      <c r="AA1054" s="66"/>
      <c r="AB1054" s="66"/>
      <c r="AC1054" s="66"/>
      <c r="AD1054" s="66"/>
    </row>
    <row r="1055">
      <c r="A1055" s="131"/>
      <c r="B1055" s="75"/>
      <c r="C1055" s="75"/>
      <c r="D1055" s="75"/>
      <c r="E1055" s="66"/>
      <c r="F1055" s="66"/>
      <c r="G1055" s="66"/>
      <c r="H1055" s="66"/>
      <c r="I1055" s="66"/>
      <c r="J1055" s="66"/>
      <c r="K1055" s="66"/>
      <c r="L1055" s="66"/>
      <c r="M1055" s="66"/>
      <c r="N1055" s="66"/>
      <c r="O1055" s="66"/>
      <c r="P1055" s="66"/>
      <c r="Q1055" s="66"/>
      <c r="R1055" s="66"/>
      <c r="S1055" s="66"/>
      <c r="T1055" s="66"/>
      <c r="U1055" s="66"/>
      <c r="V1055" s="66"/>
      <c r="W1055" s="66"/>
      <c r="X1055" s="66"/>
      <c r="Y1055" s="66"/>
      <c r="Z1055" s="66"/>
      <c r="AA1055" s="66"/>
      <c r="AB1055" s="66"/>
      <c r="AC1055" s="66"/>
      <c r="AD1055" s="66"/>
    </row>
    <row r="1056">
      <c r="A1056" s="131"/>
      <c r="B1056" s="75"/>
      <c r="C1056" s="75"/>
      <c r="D1056" s="75"/>
      <c r="E1056" s="66"/>
      <c r="F1056" s="66"/>
      <c r="G1056" s="66"/>
      <c r="H1056" s="66"/>
      <c r="I1056" s="66"/>
      <c r="J1056" s="66"/>
      <c r="K1056" s="66"/>
      <c r="L1056" s="66"/>
      <c r="M1056" s="66"/>
      <c r="N1056" s="66"/>
      <c r="O1056" s="66"/>
      <c r="P1056" s="66"/>
      <c r="Q1056" s="66"/>
      <c r="R1056" s="66"/>
      <c r="S1056" s="66"/>
      <c r="T1056" s="66"/>
      <c r="U1056" s="66"/>
      <c r="V1056" s="66"/>
      <c r="W1056" s="66"/>
      <c r="X1056" s="66"/>
      <c r="Y1056" s="66"/>
      <c r="Z1056" s="66"/>
      <c r="AA1056" s="66"/>
      <c r="AB1056" s="66"/>
      <c r="AC1056" s="66"/>
      <c r="AD1056" s="66"/>
    </row>
    <row r="1057">
      <c r="A1057" s="131"/>
      <c r="B1057" s="75"/>
      <c r="C1057" s="75"/>
      <c r="D1057" s="75"/>
      <c r="E1057" s="66"/>
      <c r="F1057" s="66"/>
      <c r="G1057" s="66"/>
      <c r="H1057" s="66"/>
      <c r="I1057" s="66"/>
      <c r="J1057" s="66"/>
      <c r="K1057" s="66"/>
      <c r="L1057" s="66"/>
      <c r="M1057" s="66"/>
      <c r="N1057" s="66"/>
      <c r="O1057" s="66"/>
      <c r="P1057" s="66"/>
      <c r="Q1057" s="66"/>
      <c r="R1057" s="66"/>
      <c r="S1057" s="66"/>
      <c r="T1057" s="66"/>
      <c r="U1057" s="66"/>
      <c r="V1057" s="66"/>
      <c r="W1057" s="66"/>
      <c r="X1057" s="66"/>
      <c r="Y1057" s="66"/>
      <c r="Z1057" s="66"/>
      <c r="AA1057" s="66"/>
      <c r="AB1057" s="66"/>
      <c r="AC1057" s="66"/>
      <c r="AD1057" s="66"/>
    </row>
    <row r="1058">
      <c r="A1058" s="131"/>
      <c r="B1058" s="75"/>
      <c r="C1058" s="75"/>
      <c r="D1058" s="75"/>
      <c r="E1058" s="66"/>
      <c r="F1058" s="66"/>
      <c r="G1058" s="66"/>
      <c r="H1058" s="66"/>
      <c r="I1058" s="66"/>
      <c r="J1058" s="66"/>
      <c r="K1058" s="66"/>
      <c r="L1058" s="66"/>
      <c r="M1058" s="66"/>
      <c r="N1058" s="66"/>
      <c r="O1058" s="66"/>
      <c r="P1058" s="66"/>
      <c r="Q1058" s="66"/>
      <c r="R1058" s="66"/>
      <c r="S1058" s="66"/>
      <c r="T1058" s="66"/>
      <c r="U1058" s="66"/>
      <c r="V1058" s="66"/>
      <c r="W1058" s="66"/>
      <c r="X1058" s="66"/>
      <c r="Y1058" s="66"/>
      <c r="Z1058" s="66"/>
      <c r="AA1058" s="66"/>
      <c r="AB1058" s="66"/>
      <c r="AC1058" s="66"/>
      <c r="AD1058" s="66"/>
    </row>
    <row r="1059">
      <c r="A1059" s="131"/>
      <c r="B1059" s="75"/>
      <c r="C1059" s="75"/>
      <c r="D1059" s="75"/>
      <c r="E1059" s="66"/>
      <c r="F1059" s="66"/>
      <c r="G1059" s="66"/>
      <c r="H1059" s="66"/>
      <c r="I1059" s="66"/>
      <c r="J1059" s="66"/>
      <c r="K1059" s="66"/>
      <c r="L1059" s="66"/>
      <c r="M1059" s="66"/>
      <c r="N1059" s="66"/>
      <c r="O1059" s="66"/>
      <c r="P1059" s="66"/>
      <c r="Q1059" s="66"/>
      <c r="R1059" s="66"/>
      <c r="S1059" s="66"/>
      <c r="T1059" s="66"/>
      <c r="U1059" s="66"/>
      <c r="V1059" s="66"/>
      <c r="W1059" s="66"/>
      <c r="X1059" s="66"/>
      <c r="Y1059" s="66"/>
      <c r="Z1059" s="66"/>
      <c r="AA1059" s="66"/>
      <c r="AB1059" s="66"/>
      <c r="AC1059" s="66"/>
      <c r="AD1059" s="66"/>
    </row>
    <row r="1060">
      <c r="A1060" s="131"/>
      <c r="B1060" s="75"/>
      <c r="C1060" s="75"/>
      <c r="D1060" s="75"/>
      <c r="E1060" s="66"/>
      <c r="F1060" s="66"/>
      <c r="G1060" s="66"/>
      <c r="H1060" s="66"/>
      <c r="I1060" s="66"/>
      <c r="J1060" s="66"/>
      <c r="K1060" s="66"/>
      <c r="L1060" s="66"/>
      <c r="M1060" s="66"/>
      <c r="N1060" s="66"/>
      <c r="O1060" s="66"/>
      <c r="P1060" s="66"/>
      <c r="Q1060" s="66"/>
      <c r="R1060" s="66"/>
      <c r="S1060" s="66"/>
      <c r="T1060" s="66"/>
      <c r="U1060" s="66"/>
      <c r="V1060" s="66"/>
      <c r="W1060" s="66"/>
      <c r="X1060" s="66"/>
      <c r="Y1060" s="66"/>
      <c r="Z1060" s="66"/>
      <c r="AA1060" s="66"/>
      <c r="AB1060" s="66"/>
      <c r="AC1060" s="66"/>
      <c r="AD1060" s="66"/>
    </row>
    <row r="1061">
      <c r="A1061" s="131"/>
      <c r="B1061" s="75"/>
      <c r="C1061" s="75"/>
      <c r="D1061" s="75"/>
      <c r="E1061" s="66"/>
      <c r="F1061" s="66"/>
      <c r="G1061" s="66"/>
      <c r="H1061" s="66"/>
      <c r="I1061" s="66"/>
      <c r="J1061" s="66"/>
      <c r="K1061" s="66"/>
      <c r="L1061" s="66"/>
      <c r="M1061" s="66"/>
      <c r="N1061" s="66"/>
      <c r="O1061" s="66"/>
      <c r="P1061" s="66"/>
      <c r="Q1061" s="66"/>
      <c r="R1061" s="66"/>
      <c r="S1061" s="66"/>
      <c r="T1061" s="66"/>
      <c r="U1061" s="66"/>
      <c r="V1061" s="66"/>
      <c r="W1061" s="66"/>
      <c r="X1061" s="66"/>
      <c r="Y1061" s="66"/>
      <c r="Z1061" s="66"/>
      <c r="AA1061" s="66"/>
      <c r="AB1061" s="66"/>
      <c r="AC1061" s="66"/>
      <c r="AD1061" s="66"/>
    </row>
    <row r="1062">
      <c r="A1062" s="131"/>
      <c r="B1062" s="75"/>
      <c r="C1062" s="75"/>
      <c r="D1062" s="75"/>
      <c r="E1062" s="66"/>
      <c r="F1062" s="66"/>
      <c r="G1062" s="66"/>
      <c r="H1062" s="66"/>
      <c r="I1062" s="66"/>
      <c r="J1062" s="66"/>
      <c r="K1062" s="66"/>
      <c r="L1062" s="66"/>
      <c r="M1062" s="66"/>
      <c r="N1062" s="66"/>
      <c r="O1062" s="66"/>
      <c r="P1062" s="66"/>
      <c r="Q1062" s="66"/>
      <c r="R1062" s="66"/>
      <c r="S1062" s="66"/>
      <c r="T1062" s="66"/>
      <c r="U1062" s="66"/>
      <c r="V1062" s="66"/>
      <c r="W1062" s="66"/>
      <c r="X1062" s="66"/>
      <c r="Y1062" s="66"/>
      <c r="Z1062" s="66"/>
      <c r="AA1062" s="66"/>
      <c r="AB1062" s="66"/>
      <c r="AC1062" s="66"/>
      <c r="AD1062" s="66"/>
    </row>
    <row r="1063">
      <c r="A1063" s="131"/>
      <c r="B1063" s="75"/>
      <c r="C1063" s="75"/>
      <c r="D1063" s="75"/>
      <c r="E1063" s="66"/>
      <c r="F1063" s="66"/>
      <c r="G1063" s="66"/>
      <c r="H1063" s="66"/>
      <c r="I1063" s="66"/>
      <c r="J1063" s="66"/>
      <c r="K1063" s="66"/>
      <c r="L1063" s="66"/>
      <c r="M1063" s="66"/>
      <c r="N1063" s="66"/>
      <c r="O1063" s="66"/>
      <c r="P1063" s="66"/>
      <c r="Q1063" s="66"/>
      <c r="R1063" s="66"/>
      <c r="S1063" s="66"/>
      <c r="T1063" s="66"/>
      <c r="U1063" s="66"/>
      <c r="V1063" s="66"/>
      <c r="W1063" s="66"/>
      <c r="X1063" s="66"/>
      <c r="Y1063" s="66"/>
      <c r="Z1063" s="66"/>
      <c r="AA1063" s="66"/>
      <c r="AB1063" s="66"/>
      <c r="AC1063" s="66"/>
      <c r="AD1063" s="66"/>
    </row>
    <row r="1064">
      <c r="A1064" s="131"/>
      <c r="B1064" s="75"/>
      <c r="C1064" s="75"/>
      <c r="D1064" s="75"/>
      <c r="E1064" s="66"/>
      <c r="F1064" s="66"/>
      <c r="G1064" s="66"/>
      <c r="H1064" s="66"/>
      <c r="I1064" s="66"/>
      <c r="J1064" s="66"/>
      <c r="K1064" s="66"/>
      <c r="L1064" s="66"/>
      <c r="M1064" s="66"/>
      <c r="N1064" s="66"/>
      <c r="O1064" s="66"/>
      <c r="P1064" s="66"/>
      <c r="Q1064" s="66"/>
      <c r="R1064" s="66"/>
      <c r="S1064" s="66"/>
      <c r="T1064" s="66"/>
      <c r="U1064" s="66"/>
      <c r="V1064" s="66"/>
      <c r="W1064" s="66"/>
      <c r="X1064" s="66"/>
      <c r="Y1064" s="66"/>
      <c r="Z1064" s="66"/>
      <c r="AA1064" s="66"/>
      <c r="AB1064" s="66"/>
      <c r="AC1064" s="66"/>
      <c r="AD1064" s="66"/>
    </row>
    <row r="1065">
      <c r="A1065" s="131"/>
      <c r="B1065" s="75"/>
      <c r="C1065" s="75"/>
      <c r="D1065" s="75"/>
      <c r="E1065" s="66"/>
      <c r="F1065" s="66"/>
      <c r="G1065" s="66"/>
      <c r="H1065" s="66"/>
      <c r="I1065" s="66"/>
      <c r="J1065" s="66"/>
      <c r="K1065" s="66"/>
      <c r="L1065" s="66"/>
      <c r="M1065" s="66"/>
      <c r="N1065" s="66"/>
      <c r="O1065" s="66"/>
      <c r="P1065" s="66"/>
      <c r="Q1065" s="66"/>
      <c r="R1065" s="66"/>
      <c r="S1065" s="66"/>
      <c r="T1065" s="66"/>
      <c r="U1065" s="66"/>
      <c r="V1065" s="66"/>
      <c r="W1065" s="66"/>
      <c r="X1065" s="66"/>
      <c r="Y1065" s="66"/>
      <c r="Z1065" s="66"/>
      <c r="AA1065" s="66"/>
      <c r="AB1065" s="66"/>
      <c r="AC1065" s="66"/>
      <c r="AD1065" s="66"/>
    </row>
    <row r="1066">
      <c r="A1066" s="131"/>
      <c r="B1066" s="75"/>
      <c r="C1066" s="75"/>
      <c r="D1066" s="75"/>
      <c r="E1066" s="66"/>
      <c r="F1066" s="66"/>
      <c r="G1066" s="66"/>
      <c r="H1066" s="66"/>
      <c r="I1066" s="66"/>
      <c r="J1066" s="66"/>
      <c r="K1066" s="66"/>
      <c r="L1066" s="66"/>
      <c r="M1066" s="66"/>
      <c r="N1066" s="66"/>
      <c r="O1066" s="66"/>
      <c r="P1066" s="66"/>
      <c r="Q1066" s="66"/>
      <c r="R1066" s="66"/>
      <c r="S1066" s="66"/>
      <c r="T1066" s="66"/>
      <c r="U1066" s="66"/>
      <c r="V1066" s="66"/>
      <c r="W1066" s="66"/>
      <c r="X1066" s="66"/>
      <c r="Y1066" s="66"/>
      <c r="Z1066" s="66"/>
      <c r="AA1066" s="66"/>
      <c r="AB1066" s="66"/>
      <c r="AC1066" s="66"/>
      <c r="AD1066" s="66"/>
    </row>
    <row r="1067">
      <c r="A1067" s="131"/>
      <c r="B1067" s="75"/>
      <c r="C1067" s="75"/>
      <c r="D1067" s="75"/>
      <c r="E1067" s="66"/>
      <c r="F1067" s="66"/>
      <c r="G1067" s="66"/>
      <c r="H1067" s="66"/>
      <c r="I1067" s="66"/>
      <c r="J1067" s="66"/>
      <c r="K1067" s="66"/>
      <c r="L1067" s="66"/>
      <c r="M1067" s="66"/>
      <c r="N1067" s="66"/>
      <c r="O1067" s="66"/>
      <c r="P1067" s="66"/>
      <c r="Q1067" s="66"/>
      <c r="R1067" s="66"/>
      <c r="S1067" s="66"/>
      <c r="T1067" s="66"/>
      <c r="U1067" s="66"/>
      <c r="V1067" s="66"/>
      <c r="W1067" s="66"/>
      <c r="X1067" s="66"/>
      <c r="Y1067" s="66"/>
      <c r="Z1067" s="66"/>
      <c r="AA1067" s="66"/>
      <c r="AB1067" s="66"/>
      <c r="AC1067" s="66"/>
      <c r="AD1067" s="66"/>
    </row>
    <row r="1068">
      <c r="A1068" s="131"/>
      <c r="B1068" s="75"/>
      <c r="C1068" s="75"/>
      <c r="D1068" s="75"/>
      <c r="E1068" s="66"/>
      <c r="F1068" s="66"/>
      <c r="G1068" s="66"/>
      <c r="H1068" s="66"/>
      <c r="I1068" s="66"/>
      <c r="J1068" s="66"/>
      <c r="K1068" s="66"/>
      <c r="L1068" s="66"/>
      <c r="M1068" s="66"/>
      <c r="N1068" s="66"/>
      <c r="O1068" s="66"/>
      <c r="P1068" s="66"/>
      <c r="Q1068" s="66"/>
      <c r="R1068" s="66"/>
      <c r="S1068" s="66"/>
      <c r="T1068" s="66"/>
      <c r="U1068" s="66"/>
      <c r="V1068" s="66"/>
      <c r="W1068" s="66"/>
      <c r="X1068" s="66"/>
      <c r="Y1068" s="66"/>
      <c r="Z1068" s="66"/>
      <c r="AA1068" s="66"/>
      <c r="AB1068" s="66"/>
      <c r="AC1068" s="66"/>
      <c r="AD1068" s="66"/>
    </row>
    <row r="1069">
      <c r="A1069" s="131"/>
      <c r="B1069" s="75"/>
      <c r="C1069" s="75"/>
      <c r="D1069" s="75"/>
      <c r="E1069" s="66"/>
      <c r="F1069" s="66"/>
      <c r="G1069" s="66"/>
      <c r="H1069" s="66"/>
      <c r="I1069" s="66"/>
      <c r="J1069" s="66"/>
      <c r="K1069" s="66"/>
      <c r="L1069" s="66"/>
      <c r="M1069" s="66"/>
      <c r="N1069" s="66"/>
      <c r="O1069" s="66"/>
      <c r="P1069" s="66"/>
      <c r="Q1069" s="66"/>
      <c r="R1069" s="66"/>
      <c r="S1069" s="66"/>
      <c r="T1069" s="66"/>
      <c r="U1069" s="66"/>
      <c r="V1069" s="66"/>
      <c r="W1069" s="66"/>
      <c r="X1069" s="66"/>
      <c r="Y1069" s="66"/>
      <c r="Z1069" s="66"/>
      <c r="AA1069" s="66"/>
      <c r="AB1069" s="66"/>
      <c r="AC1069" s="66"/>
      <c r="AD1069" s="66"/>
    </row>
    <row r="1070">
      <c r="A1070" s="131"/>
      <c r="B1070" s="75"/>
      <c r="C1070" s="75"/>
      <c r="D1070" s="75"/>
      <c r="E1070" s="66"/>
      <c r="F1070" s="66"/>
      <c r="G1070" s="66"/>
      <c r="H1070" s="66"/>
      <c r="I1070" s="66"/>
      <c r="J1070" s="66"/>
      <c r="K1070" s="66"/>
      <c r="L1070" s="66"/>
      <c r="M1070" s="66"/>
      <c r="N1070" s="66"/>
      <c r="O1070" s="66"/>
      <c r="P1070" s="66"/>
      <c r="Q1070" s="66"/>
      <c r="R1070" s="66"/>
      <c r="S1070" s="66"/>
      <c r="T1070" s="66"/>
      <c r="U1070" s="66"/>
      <c r="V1070" s="66"/>
      <c r="W1070" s="66"/>
      <c r="X1070" s="66"/>
      <c r="Y1070" s="66"/>
      <c r="Z1070" s="66"/>
      <c r="AA1070" s="66"/>
      <c r="AB1070" s="66"/>
      <c r="AC1070" s="66"/>
      <c r="AD1070" s="66"/>
    </row>
    <row r="1071">
      <c r="A1071" s="131"/>
      <c r="B1071" s="75"/>
      <c r="C1071" s="75"/>
      <c r="D1071" s="75"/>
      <c r="E1071" s="66"/>
      <c r="F1071" s="66"/>
      <c r="G1071" s="66"/>
      <c r="H1071" s="66"/>
      <c r="I1071" s="66"/>
      <c r="J1071" s="66"/>
      <c r="K1071" s="66"/>
      <c r="L1071" s="66"/>
      <c r="M1071" s="66"/>
      <c r="N1071" s="66"/>
      <c r="O1071" s="66"/>
      <c r="P1071" s="66"/>
      <c r="Q1071" s="66"/>
      <c r="R1071" s="66"/>
      <c r="S1071" s="66"/>
      <c r="T1071" s="66"/>
      <c r="U1071" s="66"/>
      <c r="V1071" s="66"/>
      <c r="W1071" s="66"/>
      <c r="X1071" s="66"/>
      <c r="Y1071" s="66"/>
      <c r="Z1071" s="66"/>
      <c r="AA1071" s="66"/>
      <c r="AB1071" s="66"/>
      <c r="AC1071" s="66"/>
      <c r="AD1071" s="66"/>
    </row>
    <row r="1072">
      <c r="A1072" s="131"/>
      <c r="B1072" s="75"/>
      <c r="C1072" s="75"/>
      <c r="D1072" s="75"/>
      <c r="E1072" s="66"/>
      <c r="F1072" s="66"/>
      <c r="G1072" s="66"/>
      <c r="H1072" s="66"/>
      <c r="I1072" s="66"/>
      <c r="J1072" s="66"/>
      <c r="K1072" s="66"/>
      <c r="L1072" s="66"/>
      <c r="M1072" s="66"/>
      <c r="N1072" s="66"/>
      <c r="O1072" s="66"/>
      <c r="P1072" s="66"/>
      <c r="Q1072" s="66"/>
      <c r="R1072" s="66"/>
      <c r="S1072" s="66"/>
      <c r="T1072" s="66"/>
      <c r="U1072" s="66"/>
      <c r="V1072" s="66"/>
      <c r="W1072" s="66"/>
      <c r="X1072" s="66"/>
      <c r="Y1072" s="66"/>
      <c r="Z1072" s="66"/>
      <c r="AA1072" s="66"/>
      <c r="AB1072" s="66"/>
      <c r="AC1072" s="66"/>
      <c r="AD1072" s="66"/>
    </row>
    <row r="1073">
      <c r="A1073" s="131"/>
      <c r="B1073" s="75"/>
      <c r="C1073" s="75"/>
      <c r="D1073" s="75"/>
      <c r="E1073" s="66"/>
      <c r="F1073" s="66"/>
      <c r="G1073" s="66"/>
      <c r="H1073" s="66"/>
      <c r="I1073" s="66"/>
      <c r="J1073" s="66"/>
      <c r="K1073" s="66"/>
      <c r="L1073" s="66"/>
      <c r="M1073" s="66"/>
      <c r="N1073" s="66"/>
      <c r="O1073" s="66"/>
      <c r="P1073" s="66"/>
      <c r="Q1073" s="66"/>
      <c r="R1073" s="66"/>
      <c r="S1073" s="66"/>
      <c r="T1073" s="66"/>
      <c r="U1073" s="66"/>
      <c r="V1073" s="66"/>
      <c r="W1073" s="66"/>
      <c r="X1073" s="66"/>
      <c r="Y1073" s="66"/>
      <c r="Z1073" s="66"/>
      <c r="AA1073" s="66"/>
      <c r="AB1073" s="66"/>
      <c r="AC1073" s="66"/>
      <c r="AD1073" s="66"/>
    </row>
    <row r="1074">
      <c r="A1074" s="131"/>
      <c r="B1074" s="75"/>
      <c r="C1074" s="75"/>
      <c r="D1074" s="75"/>
      <c r="E1074" s="66"/>
      <c r="F1074" s="66"/>
      <c r="G1074" s="66"/>
      <c r="H1074" s="66"/>
      <c r="I1074" s="66"/>
      <c r="J1074" s="66"/>
      <c r="K1074" s="66"/>
      <c r="L1074" s="66"/>
      <c r="M1074" s="66"/>
      <c r="N1074" s="66"/>
      <c r="O1074" s="66"/>
      <c r="P1074" s="66"/>
      <c r="Q1074" s="66"/>
      <c r="R1074" s="66"/>
      <c r="S1074" s="66"/>
      <c r="T1074" s="66"/>
      <c r="U1074" s="66"/>
      <c r="V1074" s="66"/>
      <c r="W1074" s="66"/>
      <c r="X1074" s="66"/>
      <c r="Y1074" s="66"/>
      <c r="Z1074" s="66"/>
      <c r="AA1074" s="66"/>
      <c r="AB1074" s="66"/>
      <c r="AC1074" s="66"/>
      <c r="AD1074" s="66"/>
    </row>
    <row r="1075">
      <c r="A1075" s="131"/>
      <c r="B1075" s="75"/>
      <c r="C1075" s="75"/>
      <c r="D1075" s="75"/>
      <c r="E1075" s="66"/>
      <c r="F1075" s="66"/>
      <c r="G1075" s="66"/>
      <c r="H1075" s="66"/>
      <c r="I1075" s="66"/>
      <c r="J1075" s="66"/>
      <c r="K1075" s="66"/>
      <c r="L1075" s="66"/>
      <c r="M1075" s="66"/>
      <c r="N1075" s="66"/>
      <c r="O1075" s="66"/>
      <c r="P1075" s="66"/>
      <c r="Q1075" s="66"/>
      <c r="R1075" s="66"/>
      <c r="S1075" s="66"/>
      <c r="T1075" s="66"/>
      <c r="U1075" s="66"/>
      <c r="V1075" s="66"/>
      <c r="W1075" s="66"/>
      <c r="X1075" s="66"/>
      <c r="Y1075" s="66"/>
      <c r="Z1075" s="66"/>
      <c r="AA1075" s="66"/>
      <c r="AB1075" s="66"/>
      <c r="AC1075" s="66"/>
      <c r="AD1075" s="66"/>
    </row>
  </sheetData>
  <mergeCells count="1">
    <mergeCell ref="A1:D1"/>
  </mergeCells>
  <printOptions/>
  <pageMargins bottom="0.75" footer="0.0" header="0.0" left="0.7" right="0.7" top="0.75"/>
  <pageSetup orientation="portrait"/>
  <drawing r:id="rId2"/>
  <legacy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63"/>
    <col customWidth="1" min="2" max="2" width="6.25"/>
    <col customWidth="1" min="3" max="3" width="24.88"/>
    <col customWidth="1" min="4" max="4" width="13.38"/>
  </cols>
  <sheetData>
    <row r="1">
      <c r="A1" s="132" t="s">
        <v>2</v>
      </c>
      <c r="B1" s="132" t="s">
        <v>3</v>
      </c>
      <c r="C1" s="132" t="s">
        <v>4</v>
      </c>
      <c r="D1" s="133">
        <f>SUM(D2:D261)</f>
        <v>18000</v>
      </c>
    </row>
    <row r="2">
      <c r="A2" s="134">
        <v>1.0</v>
      </c>
      <c r="B2" s="134" t="s">
        <v>19</v>
      </c>
      <c r="C2" s="135" t="s">
        <v>20</v>
      </c>
      <c r="D2" s="135"/>
    </row>
    <row r="3">
      <c r="A3" s="134">
        <v>2.0</v>
      </c>
      <c r="B3" s="134" t="s">
        <v>21</v>
      </c>
      <c r="C3" s="134" t="s">
        <v>22</v>
      </c>
      <c r="D3" s="134"/>
    </row>
    <row r="4">
      <c r="A4" s="134">
        <v>3.0</v>
      </c>
      <c r="B4" s="134" t="s">
        <v>23</v>
      </c>
      <c r="C4" s="135" t="s">
        <v>24</v>
      </c>
      <c r="D4" s="134"/>
    </row>
    <row r="5">
      <c r="A5" s="134">
        <v>4.0</v>
      </c>
      <c r="B5" s="134" t="s">
        <v>25</v>
      </c>
      <c r="C5" s="134" t="s">
        <v>26</v>
      </c>
      <c r="D5" s="134"/>
    </row>
    <row r="6">
      <c r="A6" s="134">
        <v>5.0</v>
      </c>
      <c r="B6" s="134" t="s">
        <v>27</v>
      </c>
      <c r="C6" s="134" t="s">
        <v>28</v>
      </c>
      <c r="D6" s="134"/>
    </row>
    <row r="7">
      <c r="A7" s="134">
        <v>6.0</v>
      </c>
      <c r="B7" s="134" t="s">
        <v>29</v>
      </c>
      <c r="C7" s="134" t="s">
        <v>30</v>
      </c>
      <c r="D7" s="134"/>
    </row>
    <row r="8">
      <c r="A8" s="134">
        <v>7.0</v>
      </c>
      <c r="B8" s="134" t="s">
        <v>31</v>
      </c>
      <c r="C8" s="134" t="s">
        <v>32</v>
      </c>
      <c r="D8" s="134">
        <v>1000.0</v>
      </c>
    </row>
    <row r="9">
      <c r="A9" s="134">
        <v>8.0</v>
      </c>
      <c r="B9" s="134" t="s">
        <v>33</v>
      </c>
      <c r="C9" s="134" t="s">
        <v>34</v>
      </c>
      <c r="D9" s="134"/>
    </row>
    <row r="10">
      <c r="A10" s="134">
        <v>9.0</v>
      </c>
      <c r="B10" s="134" t="s">
        <v>35</v>
      </c>
      <c r="C10" s="134" t="s">
        <v>36</v>
      </c>
      <c r="D10" s="134"/>
    </row>
    <row r="11">
      <c r="A11" s="134">
        <v>10.0</v>
      </c>
      <c r="B11" s="134" t="s">
        <v>37</v>
      </c>
      <c r="C11" s="134" t="s">
        <v>38</v>
      </c>
      <c r="D11" s="136">
        <v>1000.0</v>
      </c>
    </row>
    <row r="12">
      <c r="A12" s="134">
        <v>11.0</v>
      </c>
      <c r="B12" s="134" t="s">
        <v>39</v>
      </c>
      <c r="C12" s="135" t="s">
        <v>40</v>
      </c>
      <c r="D12" s="135"/>
    </row>
    <row r="13">
      <c r="A13" s="134">
        <v>12.0</v>
      </c>
      <c r="B13" s="134" t="s">
        <v>41</v>
      </c>
      <c r="C13" s="134" t="s">
        <v>42</v>
      </c>
      <c r="D13" s="134"/>
    </row>
    <row r="14">
      <c r="A14" s="134">
        <v>13.0</v>
      </c>
      <c r="B14" s="134" t="s">
        <v>43</v>
      </c>
      <c r="C14" s="135" t="s">
        <v>44</v>
      </c>
      <c r="D14" s="134"/>
    </row>
    <row r="15">
      <c r="A15" s="134">
        <v>14.0</v>
      </c>
      <c r="B15" s="134" t="s">
        <v>45</v>
      </c>
      <c r="C15" s="135" t="s">
        <v>46</v>
      </c>
      <c r="D15" s="134"/>
    </row>
    <row r="16">
      <c r="A16" s="134">
        <v>15.0</v>
      </c>
      <c r="B16" s="134" t="s">
        <v>47</v>
      </c>
      <c r="C16" s="134" t="s">
        <v>48</v>
      </c>
      <c r="D16" s="136">
        <v>1000.0</v>
      </c>
    </row>
    <row r="17">
      <c r="A17" s="134">
        <v>16.0</v>
      </c>
      <c r="B17" s="134" t="s">
        <v>49</v>
      </c>
      <c r="C17" s="134" t="s">
        <v>50</v>
      </c>
      <c r="D17" s="136">
        <v>1000.0</v>
      </c>
    </row>
    <row r="18">
      <c r="A18" s="134">
        <v>17.0</v>
      </c>
      <c r="B18" s="134" t="s">
        <v>51</v>
      </c>
      <c r="C18" s="135" t="s">
        <v>52</v>
      </c>
      <c r="D18" s="135"/>
    </row>
    <row r="19">
      <c r="A19" s="134">
        <v>18.0</v>
      </c>
      <c r="B19" s="134" t="s">
        <v>53</v>
      </c>
      <c r="C19" s="134" t="s">
        <v>54</v>
      </c>
      <c r="D19" s="134">
        <v>1000.0</v>
      </c>
    </row>
    <row r="20">
      <c r="A20" s="134">
        <v>19.0</v>
      </c>
      <c r="B20" s="134" t="s">
        <v>55</v>
      </c>
      <c r="C20" s="135" t="s">
        <v>612</v>
      </c>
      <c r="D20" s="135"/>
    </row>
    <row r="21">
      <c r="A21" s="134">
        <v>20.0</v>
      </c>
      <c r="B21" s="134" t="s">
        <v>57</v>
      </c>
      <c r="C21" s="135" t="s">
        <v>58</v>
      </c>
      <c r="D21" s="136">
        <v>1000.0</v>
      </c>
    </row>
    <row r="22">
      <c r="A22" s="134">
        <v>21.0</v>
      </c>
      <c r="B22" s="134" t="s">
        <v>59</v>
      </c>
      <c r="C22" s="134" t="s">
        <v>60</v>
      </c>
      <c r="D22" s="134"/>
    </row>
    <row r="23">
      <c r="A23" s="134">
        <v>22.0</v>
      </c>
      <c r="B23" s="134" t="s">
        <v>61</v>
      </c>
      <c r="C23" s="134" t="s">
        <v>62</v>
      </c>
      <c r="D23" s="134"/>
    </row>
    <row r="24">
      <c r="A24" s="134">
        <v>23.0</v>
      </c>
      <c r="B24" s="134" t="s">
        <v>63</v>
      </c>
      <c r="C24" s="135" t="s">
        <v>64</v>
      </c>
      <c r="D24" s="135"/>
    </row>
    <row r="25">
      <c r="A25" s="134">
        <v>24.0</v>
      </c>
      <c r="B25" s="134" t="s">
        <v>65</v>
      </c>
      <c r="C25" s="134" t="s">
        <v>66</v>
      </c>
      <c r="D25" s="134"/>
    </row>
    <row r="26">
      <c r="A26" s="134">
        <v>25.0</v>
      </c>
      <c r="B26" s="134" t="s">
        <v>67</v>
      </c>
      <c r="C26" s="134" t="s">
        <v>68</v>
      </c>
      <c r="D26" s="134"/>
    </row>
    <row r="27">
      <c r="A27" s="134">
        <v>26.0</v>
      </c>
      <c r="B27" s="134" t="s">
        <v>69</v>
      </c>
      <c r="C27" s="134" t="s">
        <v>70</v>
      </c>
      <c r="D27" s="134"/>
    </row>
    <row r="28">
      <c r="A28" s="134">
        <v>27.0</v>
      </c>
      <c r="B28" s="134" t="s">
        <v>71</v>
      </c>
      <c r="C28" s="134" t="s">
        <v>72</v>
      </c>
      <c r="D28" s="134"/>
    </row>
    <row r="29">
      <c r="A29" s="134">
        <v>28.0</v>
      </c>
      <c r="B29" s="134" t="s">
        <v>73</v>
      </c>
      <c r="C29" s="134" t="s">
        <v>74</v>
      </c>
      <c r="D29" s="134"/>
    </row>
    <row r="30">
      <c r="A30" s="134">
        <v>29.0</v>
      </c>
      <c r="B30" s="134" t="s">
        <v>75</v>
      </c>
      <c r="C30" s="134" t="s">
        <v>76</v>
      </c>
      <c r="D30" s="134"/>
    </row>
    <row r="31">
      <c r="A31" s="134">
        <v>30.0</v>
      </c>
      <c r="B31" s="134" t="s">
        <v>77</v>
      </c>
      <c r="C31" s="134" t="s">
        <v>78</v>
      </c>
      <c r="D31" s="134"/>
    </row>
    <row r="32">
      <c r="A32" s="134">
        <v>31.0</v>
      </c>
      <c r="B32" s="134" t="s">
        <v>79</v>
      </c>
      <c r="C32" s="134" t="s">
        <v>613</v>
      </c>
      <c r="D32" s="134"/>
    </row>
    <row r="33">
      <c r="A33" s="134">
        <v>32.0</v>
      </c>
      <c r="B33" s="134" t="s">
        <v>81</v>
      </c>
      <c r="C33" s="134" t="s">
        <v>82</v>
      </c>
      <c r="D33" s="134"/>
    </row>
    <row r="34">
      <c r="A34" s="134">
        <v>33.0</v>
      </c>
      <c r="B34" s="134" t="s">
        <v>83</v>
      </c>
      <c r="C34" s="135" t="s">
        <v>84</v>
      </c>
      <c r="D34" s="134"/>
    </row>
    <row r="35">
      <c r="A35" s="134">
        <v>34.0</v>
      </c>
      <c r="B35" s="134" t="s">
        <v>85</v>
      </c>
      <c r="C35" s="134" t="s">
        <v>86</v>
      </c>
      <c r="D35" s="134"/>
    </row>
    <row r="36">
      <c r="A36" s="134">
        <v>35.0</v>
      </c>
      <c r="B36" s="134" t="s">
        <v>87</v>
      </c>
      <c r="C36" s="134" t="s">
        <v>88</v>
      </c>
      <c r="D36" s="134"/>
    </row>
    <row r="37">
      <c r="A37" s="134">
        <v>36.0</v>
      </c>
      <c r="B37" s="134" t="s">
        <v>89</v>
      </c>
      <c r="C37" s="134" t="s">
        <v>90</v>
      </c>
      <c r="D37" s="134"/>
    </row>
    <row r="38">
      <c r="A38" s="134">
        <v>37.0</v>
      </c>
      <c r="B38" s="134" t="s">
        <v>91</v>
      </c>
      <c r="C38" s="134" t="s">
        <v>92</v>
      </c>
      <c r="D38" s="134"/>
    </row>
    <row r="39">
      <c r="A39" s="134">
        <v>38.0</v>
      </c>
      <c r="B39" s="134" t="s">
        <v>93</v>
      </c>
      <c r="C39" s="134" t="s">
        <v>94</v>
      </c>
      <c r="D39" s="134"/>
    </row>
    <row r="40">
      <c r="A40" s="134">
        <v>39.0</v>
      </c>
      <c r="B40" s="134" t="s">
        <v>95</v>
      </c>
      <c r="C40" s="134" t="s">
        <v>96</v>
      </c>
      <c r="D40" s="134"/>
    </row>
    <row r="41">
      <c r="A41" s="134">
        <v>40.0</v>
      </c>
      <c r="B41" s="134" t="s">
        <v>97</v>
      </c>
      <c r="C41" s="135" t="s">
        <v>98</v>
      </c>
      <c r="D41" s="134"/>
    </row>
    <row r="42">
      <c r="A42" s="134">
        <v>41.0</v>
      </c>
      <c r="B42" s="134" t="s">
        <v>99</v>
      </c>
      <c r="C42" s="134" t="s">
        <v>100</v>
      </c>
      <c r="D42" s="136">
        <v>1000.0</v>
      </c>
    </row>
    <row r="43">
      <c r="A43" s="134">
        <v>42.0</v>
      </c>
      <c r="B43" s="134" t="s">
        <v>101</v>
      </c>
      <c r="C43" s="134" t="s">
        <v>102</v>
      </c>
      <c r="D43" s="134"/>
    </row>
    <row r="44">
      <c r="A44" s="134">
        <v>43.0</v>
      </c>
      <c r="B44" s="134" t="s">
        <v>103</v>
      </c>
      <c r="C44" s="134" t="s">
        <v>104</v>
      </c>
      <c r="D44" s="134"/>
    </row>
    <row r="45">
      <c r="A45" s="134">
        <v>44.0</v>
      </c>
      <c r="B45" s="134" t="s">
        <v>105</v>
      </c>
      <c r="C45" s="134" t="s">
        <v>106</v>
      </c>
      <c r="D45" s="134"/>
    </row>
    <row r="46">
      <c r="A46" s="134">
        <v>45.0</v>
      </c>
      <c r="B46" s="134" t="s">
        <v>108</v>
      </c>
      <c r="C46" s="134" t="s">
        <v>109</v>
      </c>
      <c r="D46" s="134"/>
    </row>
    <row r="47">
      <c r="A47" s="134">
        <v>46.0</v>
      </c>
      <c r="B47" s="134" t="s">
        <v>110</v>
      </c>
      <c r="C47" s="134" t="s">
        <v>111</v>
      </c>
      <c r="D47" s="134"/>
    </row>
    <row r="48">
      <c r="A48" s="134">
        <v>47.0</v>
      </c>
      <c r="B48" s="134" t="s">
        <v>112</v>
      </c>
      <c r="C48" s="134" t="s">
        <v>113</v>
      </c>
      <c r="D48" s="134"/>
    </row>
    <row r="49">
      <c r="A49" s="134">
        <v>48.0</v>
      </c>
      <c r="B49" s="134" t="s">
        <v>114</v>
      </c>
      <c r="C49" s="135" t="s">
        <v>115</v>
      </c>
      <c r="D49" s="134"/>
    </row>
    <row r="50">
      <c r="A50" s="134">
        <v>49.0</v>
      </c>
      <c r="B50" s="134" t="s">
        <v>117</v>
      </c>
      <c r="C50" s="135"/>
      <c r="D50" s="134"/>
    </row>
    <row r="51">
      <c r="A51" s="134">
        <v>50.0</v>
      </c>
      <c r="B51" s="134" t="s">
        <v>119</v>
      </c>
      <c r="C51" s="135" t="s">
        <v>120</v>
      </c>
      <c r="D51" s="135"/>
    </row>
    <row r="52">
      <c r="A52" s="134">
        <v>51.0</v>
      </c>
      <c r="B52" s="134" t="s">
        <v>123</v>
      </c>
      <c r="C52" s="135"/>
      <c r="D52" s="135"/>
    </row>
    <row r="53">
      <c r="A53" s="134">
        <v>52.0</v>
      </c>
      <c r="B53" s="134" t="s">
        <v>124</v>
      </c>
      <c r="C53" s="134" t="s">
        <v>125</v>
      </c>
      <c r="D53" s="134"/>
    </row>
    <row r="54">
      <c r="A54" s="134">
        <v>53.0</v>
      </c>
      <c r="B54" s="134" t="s">
        <v>126</v>
      </c>
      <c r="C54" s="135" t="s">
        <v>127</v>
      </c>
      <c r="D54" s="135"/>
    </row>
    <row r="55">
      <c r="A55" s="134">
        <v>54.0</v>
      </c>
      <c r="B55" s="134" t="s">
        <v>128</v>
      </c>
      <c r="C55" s="135"/>
      <c r="D55" s="135"/>
    </row>
    <row r="56">
      <c r="A56" s="134">
        <v>55.0</v>
      </c>
      <c r="B56" s="134" t="s">
        <v>129</v>
      </c>
      <c r="C56" s="134" t="s">
        <v>130</v>
      </c>
      <c r="D56" s="134"/>
    </row>
    <row r="57">
      <c r="A57" s="134">
        <v>56.0</v>
      </c>
      <c r="B57" s="134" t="s">
        <v>131</v>
      </c>
      <c r="C57" s="134" t="s">
        <v>132</v>
      </c>
      <c r="D57" s="134"/>
    </row>
    <row r="58">
      <c r="A58" s="134">
        <v>57.0</v>
      </c>
      <c r="B58" s="134" t="s">
        <v>133</v>
      </c>
      <c r="C58" s="134" t="s">
        <v>134</v>
      </c>
      <c r="D58" s="136">
        <v>1000.0</v>
      </c>
    </row>
    <row r="59">
      <c r="A59" s="134">
        <v>58.0</v>
      </c>
      <c r="B59" s="134" t="s">
        <v>135</v>
      </c>
      <c r="C59" s="134" t="s">
        <v>136</v>
      </c>
      <c r="D59" s="134"/>
    </row>
    <row r="60">
      <c r="A60" s="134">
        <v>59.0</v>
      </c>
      <c r="B60" s="134" t="s">
        <v>137</v>
      </c>
      <c r="C60" s="134" t="s">
        <v>138</v>
      </c>
      <c r="D60" s="134"/>
    </row>
    <row r="61">
      <c r="A61" s="134">
        <v>60.0</v>
      </c>
      <c r="B61" s="134" t="s">
        <v>139</v>
      </c>
      <c r="C61" s="134" t="s">
        <v>140</v>
      </c>
      <c r="D61" s="134"/>
    </row>
    <row r="62">
      <c r="A62" s="134">
        <v>61.0</v>
      </c>
      <c r="B62" s="134" t="s">
        <v>141</v>
      </c>
      <c r="C62" s="134" t="s">
        <v>142</v>
      </c>
      <c r="D62" s="134">
        <v>1000.0</v>
      </c>
    </row>
    <row r="63">
      <c r="A63" s="134">
        <v>62.0</v>
      </c>
      <c r="B63" s="134" t="s">
        <v>143</v>
      </c>
      <c r="C63" s="135" t="s">
        <v>144</v>
      </c>
      <c r="D63" s="135"/>
    </row>
    <row r="64">
      <c r="A64" s="134">
        <v>63.0</v>
      </c>
      <c r="B64" s="134" t="s">
        <v>145</v>
      </c>
      <c r="C64" s="135"/>
      <c r="D64" s="135"/>
    </row>
    <row r="65">
      <c r="A65" s="134">
        <v>64.0</v>
      </c>
      <c r="B65" s="134" t="s">
        <v>146</v>
      </c>
      <c r="C65" s="135" t="s">
        <v>147</v>
      </c>
      <c r="D65" s="135"/>
    </row>
    <row r="66">
      <c r="A66" s="134">
        <v>65.0</v>
      </c>
      <c r="B66" s="134" t="s">
        <v>148</v>
      </c>
      <c r="C66" s="134" t="s">
        <v>149</v>
      </c>
      <c r="D66" s="134"/>
    </row>
    <row r="67">
      <c r="A67" s="134">
        <v>66.0</v>
      </c>
      <c r="B67" s="134" t="s">
        <v>150</v>
      </c>
      <c r="C67" s="135" t="s">
        <v>151</v>
      </c>
      <c r="D67" s="135"/>
    </row>
    <row r="68">
      <c r="A68" s="134">
        <v>67.0</v>
      </c>
      <c r="B68" s="134" t="s">
        <v>152</v>
      </c>
      <c r="C68" s="134" t="s">
        <v>153</v>
      </c>
      <c r="D68" s="134"/>
    </row>
    <row r="69">
      <c r="A69" s="134">
        <v>68.0</v>
      </c>
      <c r="B69" s="134" t="s">
        <v>154</v>
      </c>
      <c r="C69" s="134" t="s">
        <v>155</v>
      </c>
      <c r="D69" s="134"/>
    </row>
    <row r="70">
      <c r="A70" s="134">
        <v>69.0</v>
      </c>
      <c r="B70" s="134" t="s">
        <v>156</v>
      </c>
      <c r="C70" s="135" t="s">
        <v>157</v>
      </c>
      <c r="D70" s="135"/>
    </row>
    <row r="71">
      <c r="A71" s="134">
        <v>70.0</v>
      </c>
      <c r="B71" s="134" t="s">
        <v>158</v>
      </c>
      <c r="C71" s="134" t="s">
        <v>159</v>
      </c>
      <c r="D71" s="134"/>
    </row>
    <row r="72">
      <c r="A72" s="134">
        <v>71.0</v>
      </c>
      <c r="B72" s="134" t="s">
        <v>160</v>
      </c>
      <c r="C72" s="134" t="s">
        <v>161</v>
      </c>
      <c r="D72" s="134"/>
    </row>
    <row r="73">
      <c r="A73" s="134">
        <v>72.0</v>
      </c>
      <c r="B73" s="134" t="s">
        <v>162</v>
      </c>
      <c r="C73" s="134" t="s">
        <v>163</v>
      </c>
      <c r="D73" s="134"/>
    </row>
    <row r="74">
      <c r="A74" s="134">
        <v>73.0</v>
      </c>
      <c r="B74" s="134" t="s">
        <v>164</v>
      </c>
      <c r="C74" s="135" t="s">
        <v>165</v>
      </c>
      <c r="D74" s="135"/>
    </row>
    <row r="75">
      <c r="A75" s="134">
        <v>74.0</v>
      </c>
      <c r="B75" s="134" t="s">
        <v>166</v>
      </c>
      <c r="C75" s="135" t="s">
        <v>167</v>
      </c>
      <c r="D75" s="135"/>
    </row>
    <row r="76">
      <c r="A76" s="134">
        <v>75.0</v>
      </c>
      <c r="B76" s="134" t="s">
        <v>169</v>
      </c>
      <c r="C76" s="134" t="s">
        <v>170</v>
      </c>
      <c r="D76" s="134"/>
    </row>
    <row r="77">
      <c r="A77" s="134">
        <v>76.0</v>
      </c>
      <c r="B77" s="134" t="s">
        <v>171</v>
      </c>
      <c r="C77" s="134" t="s">
        <v>172</v>
      </c>
      <c r="D77" s="134"/>
    </row>
    <row r="78">
      <c r="A78" s="134">
        <v>77.0</v>
      </c>
      <c r="B78" s="134" t="s">
        <v>173</v>
      </c>
      <c r="C78" s="135" t="s">
        <v>174</v>
      </c>
      <c r="D78" s="135"/>
    </row>
    <row r="79">
      <c r="A79" s="134">
        <v>78.0</v>
      </c>
      <c r="B79" s="134" t="s">
        <v>175</v>
      </c>
      <c r="C79" s="135" t="s">
        <v>176</v>
      </c>
      <c r="D79" s="135"/>
    </row>
    <row r="80">
      <c r="A80" s="134">
        <v>79.0</v>
      </c>
      <c r="B80" s="134" t="s">
        <v>177</v>
      </c>
      <c r="C80" s="135" t="s">
        <v>176</v>
      </c>
      <c r="D80" s="135"/>
    </row>
    <row r="81">
      <c r="A81" s="134">
        <v>80.0</v>
      </c>
      <c r="B81" s="134" t="s">
        <v>178</v>
      </c>
      <c r="C81" s="135" t="s">
        <v>179</v>
      </c>
      <c r="D81" s="135"/>
    </row>
    <row r="82">
      <c r="A82" s="134">
        <v>81.0</v>
      </c>
      <c r="B82" s="134" t="s">
        <v>180</v>
      </c>
      <c r="C82" s="134" t="s">
        <v>181</v>
      </c>
      <c r="D82" s="136">
        <v>1000.0</v>
      </c>
    </row>
    <row r="83">
      <c r="A83" s="134">
        <v>82.0</v>
      </c>
      <c r="B83" s="134" t="s">
        <v>182</v>
      </c>
      <c r="C83" s="134" t="s">
        <v>183</v>
      </c>
      <c r="D83" s="134"/>
    </row>
    <row r="84">
      <c r="A84" s="134">
        <v>83.0</v>
      </c>
      <c r="B84" s="134" t="s">
        <v>184</v>
      </c>
      <c r="C84" s="134" t="s">
        <v>185</v>
      </c>
      <c r="D84" s="134"/>
    </row>
    <row r="85">
      <c r="A85" s="134">
        <v>84.0</v>
      </c>
      <c r="B85" s="134" t="s">
        <v>186</v>
      </c>
      <c r="C85" s="135" t="s">
        <v>187</v>
      </c>
      <c r="D85" s="135"/>
    </row>
    <row r="86">
      <c r="A86" s="134">
        <v>85.0</v>
      </c>
      <c r="B86" s="134" t="s">
        <v>188</v>
      </c>
      <c r="C86" s="135" t="s">
        <v>189</v>
      </c>
      <c r="D86" s="134"/>
    </row>
    <row r="87">
      <c r="A87" s="134">
        <v>86.0</v>
      </c>
      <c r="B87" s="134" t="s">
        <v>190</v>
      </c>
      <c r="C87" s="134" t="s">
        <v>191</v>
      </c>
      <c r="D87" s="134"/>
    </row>
    <row r="88">
      <c r="A88" s="134">
        <v>87.0</v>
      </c>
      <c r="B88" s="134" t="s">
        <v>192</v>
      </c>
      <c r="C88" s="134" t="s">
        <v>193</v>
      </c>
      <c r="D88" s="134"/>
    </row>
    <row r="89">
      <c r="A89" s="134">
        <v>88.0</v>
      </c>
      <c r="B89" s="134" t="s">
        <v>194</v>
      </c>
      <c r="C89" s="134" t="s">
        <v>132</v>
      </c>
      <c r="D89" s="134"/>
    </row>
    <row r="90">
      <c r="A90" s="134">
        <v>89.0</v>
      </c>
      <c r="B90" s="134" t="s">
        <v>195</v>
      </c>
      <c r="C90" s="134" t="s">
        <v>196</v>
      </c>
      <c r="D90" s="134"/>
    </row>
    <row r="91">
      <c r="A91" s="134">
        <v>90.0</v>
      </c>
      <c r="B91" s="134" t="s">
        <v>197</v>
      </c>
      <c r="C91" s="135" t="s">
        <v>198</v>
      </c>
      <c r="D91" s="135"/>
    </row>
    <row r="92">
      <c r="A92" s="134">
        <v>91.0</v>
      </c>
      <c r="B92" s="134" t="s">
        <v>199</v>
      </c>
      <c r="C92" s="134" t="s">
        <v>200</v>
      </c>
      <c r="D92" s="134"/>
    </row>
    <row r="93">
      <c r="A93" s="134">
        <v>92.0</v>
      </c>
      <c r="B93" s="134" t="s">
        <v>201</v>
      </c>
      <c r="C93" s="134" t="s">
        <v>202</v>
      </c>
      <c r="D93" s="134"/>
    </row>
    <row r="94">
      <c r="A94" s="134">
        <v>93.0</v>
      </c>
      <c r="B94" s="134" t="s">
        <v>204</v>
      </c>
      <c r="C94" s="135"/>
      <c r="D94" s="135"/>
    </row>
    <row r="95">
      <c r="A95" s="134">
        <v>94.0</v>
      </c>
      <c r="B95" s="134" t="s">
        <v>206</v>
      </c>
      <c r="C95" s="135"/>
      <c r="D95" s="135"/>
    </row>
    <row r="96">
      <c r="A96" s="134">
        <v>95.0</v>
      </c>
      <c r="B96" s="134" t="s">
        <v>207</v>
      </c>
      <c r="C96" s="135"/>
      <c r="D96" s="135"/>
    </row>
    <row r="97">
      <c r="A97" s="134">
        <v>96.0</v>
      </c>
      <c r="B97" s="134" t="s">
        <v>208</v>
      </c>
      <c r="C97" s="134" t="s">
        <v>209</v>
      </c>
      <c r="D97" s="134"/>
    </row>
    <row r="98">
      <c r="A98" s="134">
        <v>97.0</v>
      </c>
      <c r="B98" s="134" t="s">
        <v>210</v>
      </c>
      <c r="C98" s="134" t="s">
        <v>211</v>
      </c>
      <c r="D98" s="134"/>
    </row>
    <row r="99">
      <c r="A99" s="134">
        <v>98.0</v>
      </c>
      <c r="B99" s="134" t="s">
        <v>212</v>
      </c>
      <c r="C99" s="134" t="s">
        <v>213</v>
      </c>
      <c r="D99" s="134"/>
    </row>
    <row r="100">
      <c r="A100" s="134">
        <v>99.0</v>
      </c>
      <c r="B100" s="134" t="s">
        <v>214</v>
      </c>
      <c r="C100" s="134" t="s">
        <v>215</v>
      </c>
      <c r="D100" s="134"/>
    </row>
    <row r="101">
      <c r="A101" s="134">
        <v>100.0</v>
      </c>
      <c r="B101" s="134" t="s">
        <v>216</v>
      </c>
      <c r="C101" s="135" t="s">
        <v>217</v>
      </c>
      <c r="D101" s="135"/>
    </row>
    <row r="102">
      <c r="A102" s="134">
        <v>101.0</v>
      </c>
      <c r="B102" s="134" t="s">
        <v>218</v>
      </c>
      <c r="C102" s="134" t="s">
        <v>219</v>
      </c>
      <c r="D102" s="134"/>
    </row>
    <row r="103">
      <c r="A103" s="134">
        <v>102.0</v>
      </c>
      <c r="B103" s="134" t="s">
        <v>220</v>
      </c>
      <c r="C103" s="134" t="s">
        <v>221</v>
      </c>
      <c r="D103" s="134"/>
    </row>
    <row r="104">
      <c r="A104" s="134">
        <v>103.0</v>
      </c>
      <c r="B104" s="134" t="s">
        <v>222</v>
      </c>
      <c r="C104" s="134" t="s">
        <v>221</v>
      </c>
      <c r="D104" s="134"/>
    </row>
    <row r="105">
      <c r="A105" s="134">
        <v>104.0</v>
      </c>
      <c r="B105" s="134" t="s">
        <v>223</v>
      </c>
      <c r="C105" s="134" t="s">
        <v>224</v>
      </c>
      <c r="D105" s="136">
        <v>1000.0</v>
      </c>
    </row>
    <row r="106">
      <c r="A106" s="134">
        <v>105.0</v>
      </c>
      <c r="B106" s="134" t="s">
        <v>225</v>
      </c>
      <c r="C106" s="135" t="s">
        <v>226</v>
      </c>
      <c r="D106" s="135"/>
    </row>
    <row r="107">
      <c r="A107" s="134">
        <v>106.0</v>
      </c>
      <c r="B107" s="134" t="s">
        <v>227</v>
      </c>
      <c r="C107" s="134" t="s">
        <v>228</v>
      </c>
      <c r="D107" s="134"/>
    </row>
    <row r="108">
      <c r="A108" s="134">
        <v>107.0</v>
      </c>
      <c r="B108" s="134" t="s">
        <v>229</v>
      </c>
      <c r="C108" s="134" t="s">
        <v>230</v>
      </c>
      <c r="D108" s="134"/>
    </row>
    <row r="109">
      <c r="A109" s="134">
        <v>108.0</v>
      </c>
      <c r="B109" s="134" t="s">
        <v>231</v>
      </c>
      <c r="C109" s="134" t="s">
        <v>232</v>
      </c>
      <c r="D109" s="134"/>
    </row>
    <row r="110">
      <c r="A110" s="134">
        <v>109.0</v>
      </c>
      <c r="B110" s="134" t="s">
        <v>233</v>
      </c>
      <c r="C110" s="135" t="s">
        <v>234</v>
      </c>
      <c r="D110" s="135"/>
    </row>
    <row r="111">
      <c r="A111" s="134">
        <v>110.0</v>
      </c>
      <c r="B111" s="134" t="s">
        <v>235</v>
      </c>
      <c r="C111" s="134" t="s">
        <v>90</v>
      </c>
      <c r="D111" s="136">
        <v>1000.0</v>
      </c>
    </row>
    <row r="112">
      <c r="A112" s="134">
        <v>111.0</v>
      </c>
      <c r="B112" s="134" t="s">
        <v>237</v>
      </c>
      <c r="C112" s="134" t="s">
        <v>238</v>
      </c>
      <c r="D112" s="136">
        <v>1000.0</v>
      </c>
    </row>
    <row r="113">
      <c r="A113" s="134">
        <v>112.0</v>
      </c>
      <c r="B113" s="134" t="s">
        <v>239</v>
      </c>
      <c r="C113" s="134" t="s">
        <v>240</v>
      </c>
      <c r="D113" s="134"/>
    </row>
    <row r="114">
      <c r="A114" s="134">
        <v>113.0</v>
      </c>
      <c r="B114" s="134" t="s">
        <v>241</v>
      </c>
      <c r="C114" s="134" t="s">
        <v>242</v>
      </c>
      <c r="D114" s="134"/>
    </row>
    <row r="115">
      <c r="A115" s="134">
        <v>114.0</v>
      </c>
      <c r="B115" s="134" t="s">
        <v>243</v>
      </c>
      <c r="C115" s="134" t="s">
        <v>244</v>
      </c>
      <c r="D115" s="134"/>
    </row>
    <row r="116">
      <c r="A116" s="134">
        <v>115.0</v>
      </c>
      <c r="B116" s="134" t="s">
        <v>245</v>
      </c>
      <c r="C116" s="135"/>
      <c r="D116" s="135"/>
    </row>
    <row r="117">
      <c r="A117" s="134">
        <v>116.0</v>
      </c>
      <c r="B117" s="134" t="s">
        <v>246</v>
      </c>
      <c r="C117" s="134" t="s">
        <v>247</v>
      </c>
      <c r="D117" s="134"/>
    </row>
    <row r="118">
      <c r="A118" s="134">
        <v>117.0</v>
      </c>
      <c r="B118" s="134" t="s">
        <v>248</v>
      </c>
      <c r="C118" s="136" t="s">
        <v>249</v>
      </c>
      <c r="D118" s="135"/>
    </row>
    <row r="119">
      <c r="A119" s="134">
        <v>118.0</v>
      </c>
      <c r="B119" s="134" t="s">
        <v>250</v>
      </c>
      <c r="C119" s="135"/>
      <c r="D119" s="135"/>
    </row>
    <row r="120">
      <c r="A120" s="134">
        <v>119.0</v>
      </c>
      <c r="B120" s="134" t="s">
        <v>251</v>
      </c>
      <c r="C120" s="135" t="s">
        <v>252</v>
      </c>
      <c r="D120" s="134"/>
    </row>
    <row r="121">
      <c r="A121" s="134">
        <v>120.0</v>
      </c>
      <c r="B121" s="134" t="s">
        <v>253</v>
      </c>
      <c r="C121" s="135" t="s">
        <v>254</v>
      </c>
      <c r="D121" s="134"/>
    </row>
    <row r="122">
      <c r="A122" s="134">
        <v>121.0</v>
      </c>
      <c r="B122" s="134" t="s">
        <v>255</v>
      </c>
      <c r="C122" s="136" t="s">
        <v>614</v>
      </c>
      <c r="D122" s="136">
        <v>1000.0</v>
      </c>
    </row>
    <row r="123">
      <c r="A123" s="134">
        <v>122.0</v>
      </c>
      <c r="B123" s="134" t="s">
        <v>257</v>
      </c>
      <c r="C123" s="134" t="s">
        <v>258</v>
      </c>
      <c r="D123" s="134"/>
    </row>
    <row r="124">
      <c r="A124" s="134">
        <v>123.0</v>
      </c>
      <c r="B124" s="134" t="s">
        <v>259</v>
      </c>
      <c r="C124" s="134" t="s">
        <v>260</v>
      </c>
      <c r="D124" s="134"/>
    </row>
    <row r="125">
      <c r="A125" s="134">
        <v>124.0</v>
      </c>
      <c r="B125" s="134" t="s">
        <v>261</v>
      </c>
      <c r="C125" s="134" t="s">
        <v>262</v>
      </c>
      <c r="D125" s="136">
        <v>1000.0</v>
      </c>
    </row>
    <row r="126">
      <c r="A126" s="134">
        <v>125.0</v>
      </c>
      <c r="B126" s="134" t="s">
        <v>263</v>
      </c>
      <c r="C126" s="134" t="s">
        <v>264</v>
      </c>
      <c r="D126" s="134"/>
    </row>
    <row r="127">
      <c r="A127" s="134">
        <v>126.0</v>
      </c>
      <c r="B127" s="134" t="s">
        <v>265</v>
      </c>
      <c r="C127" s="135"/>
      <c r="D127" s="135"/>
    </row>
    <row r="128">
      <c r="A128" s="134">
        <v>127.0</v>
      </c>
      <c r="B128" s="134" t="s">
        <v>266</v>
      </c>
      <c r="C128" s="134" t="s">
        <v>267</v>
      </c>
      <c r="D128" s="135"/>
    </row>
    <row r="129">
      <c r="A129" s="134">
        <v>128.0</v>
      </c>
      <c r="B129" s="134" t="s">
        <v>269</v>
      </c>
      <c r="C129" s="134" t="s">
        <v>270</v>
      </c>
      <c r="D129" s="134"/>
    </row>
    <row r="130">
      <c r="A130" s="134">
        <v>129.0</v>
      </c>
      <c r="B130" s="134" t="s">
        <v>271</v>
      </c>
      <c r="C130" s="134" t="s">
        <v>272</v>
      </c>
      <c r="D130" s="134"/>
    </row>
    <row r="131">
      <c r="A131" s="134">
        <v>130.0</v>
      </c>
      <c r="B131" s="134" t="s">
        <v>273</v>
      </c>
      <c r="C131" s="134" t="s">
        <v>274</v>
      </c>
      <c r="D131" s="134"/>
    </row>
    <row r="132">
      <c r="A132" s="134">
        <v>131.0</v>
      </c>
      <c r="B132" s="134" t="s">
        <v>275</v>
      </c>
      <c r="C132" s="134" t="s">
        <v>276</v>
      </c>
      <c r="D132" s="134"/>
    </row>
    <row r="133">
      <c r="A133" s="134">
        <v>132.0</v>
      </c>
      <c r="B133" s="134" t="s">
        <v>277</v>
      </c>
      <c r="C133" s="135" t="s">
        <v>278</v>
      </c>
      <c r="D133" s="135"/>
    </row>
    <row r="134">
      <c r="A134" s="134">
        <v>133.0</v>
      </c>
      <c r="B134" s="134" t="s">
        <v>279</v>
      </c>
      <c r="C134" s="135"/>
      <c r="D134" s="135"/>
    </row>
    <row r="135">
      <c r="A135" s="134">
        <v>134.0</v>
      </c>
      <c r="B135" s="134" t="s">
        <v>280</v>
      </c>
      <c r="C135" s="134" t="s">
        <v>281</v>
      </c>
      <c r="D135" s="134"/>
    </row>
    <row r="136">
      <c r="A136" s="134">
        <v>135.0</v>
      </c>
      <c r="B136" s="134" t="s">
        <v>282</v>
      </c>
      <c r="C136" s="135" t="s">
        <v>281</v>
      </c>
      <c r="D136" s="135"/>
    </row>
    <row r="137">
      <c r="A137" s="134">
        <v>136.0</v>
      </c>
      <c r="B137" s="134" t="s">
        <v>283</v>
      </c>
      <c r="C137" s="134" t="s">
        <v>284</v>
      </c>
      <c r="D137" s="134"/>
    </row>
    <row r="138">
      <c r="A138" s="134">
        <v>137.0</v>
      </c>
      <c r="B138" s="134" t="s">
        <v>285</v>
      </c>
      <c r="C138" s="134" t="s">
        <v>286</v>
      </c>
      <c r="D138" s="134"/>
    </row>
    <row r="139">
      <c r="A139" s="134">
        <v>138.0</v>
      </c>
      <c r="B139" s="134" t="s">
        <v>287</v>
      </c>
      <c r="C139" s="134" t="s">
        <v>288</v>
      </c>
      <c r="D139" s="134"/>
    </row>
    <row r="140">
      <c r="A140" s="134">
        <v>139.0</v>
      </c>
      <c r="B140" s="134" t="s">
        <v>289</v>
      </c>
      <c r="C140" s="134" t="s">
        <v>290</v>
      </c>
      <c r="D140" s="134"/>
    </row>
    <row r="141">
      <c r="A141" s="134">
        <v>140.0</v>
      </c>
      <c r="B141" s="134" t="s">
        <v>291</v>
      </c>
      <c r="C141" s="135" t="s">
        <v>292</v>
      </c>
      <c r="D141" s="135"/>
    </row>
    <row r="142">
      <c r="A142" s="134">
        <v>141.0</v>
      </c>
      <c r="B142" s="134" t="s">
        <v>293</v>
      </c>
      <c r="C142" s="135" t="s">
        <v>294</v>
      </c>
      <c r="D142" s="135"/>
    </row>
    <row r="143">
      <c r="A143" s="134">
        <v>142.0</v>
      </c>
      <c r="B143" s="134" t="s">
        <v>295</v>
      </c>
      <c r="C143" s="135"/>
      <c r="D143" s="135"/>
    </row>
    <row r="144">
      <c r="A144" s="134">
        <v>143.0</v>
      </c>
      <c r="B144" s="134" t="s">
        <v>296</v>
      </c>
      <c r="C144" s="135"/>
      <c r="D144" s="135"/>
    </row>
    <row r="145">
      <c r="A145" s="134">
        <v>144.0</v>
      </c>
      <c r="B145" s="134" t="s">
        <v>297</v>
      </c>
      <c r="C145" s="135"/>
      <c r="D145" s="135"/>
    </row>
    <row r="146">
      <c r="A146" s="134">
        <v>145.0</v>
      </c>
      <c r="B146" s="134" t="s">
        <v>298</v>
      </c>
      <c r="C146" s="135" t="s">
        <v>299</v>
      </c>
      <c r="D146" s="135"/>
    </row>
    <row r="147">
      <c r="A147" s="134">
        <v>146.0</v>
      </c>
      <c r="B147" s="134" t="s">
        <v>300</v>
      </c>
      <c r="C147" s="135" t="s">
        <v>301</v>
      </c>
      <c r="D147" s="135"/>
    </row>
    <row r="148">
      <c r="A148" s="134">
        <v>147.0</v>
      </c>
      <c r="B148" s="134" t="s">
        <v>302</v>
      </c>
      <c r="C148" s="134" t="s">
        <v>303</v>
      </c>
      <c r="D148" s="134"/>
    </row>
    <row r="149">
      <c r="A149" s="134">
        <v>148.0</v>
      </c>
      <c r="B149" s="134" t="s">
        <v>305</v>
      </c>
      <c r="C149" s="135" t="s">
        <v>306</v>
      </c>
      <c r="D149" s="135"/>
    </row>
    <row r="150">
      <c r="A150" s="134">
        <v>149.0</v>
      </c>
      <c r="B150" s="134" t="s">
        <v>308</v>
      </c>
      <c r="C150" s="135"/>
      <c r="D150" s="135"/>
    </row>
    <row r="151">
      <c r="A151" s="134">
        <v>150.0</v>
      </c>
      <c r="B151" s="134" t="s">
        <v>309</v>
      </c>
      <c r="C151" s="135"/>
      <c r="D151" s="135"/>
    </row>
    <row r="152">
      <c r="A152" s="134">
        <v>151.0</v>
      </c>
      <c r="B152" s="134" t="s">
        <v>310</v>
      </c>
      <c r="C152" s="135"/>
      <c r="D152" s="135"/>
    </row>
    <row r="153">
      <c r="A153" s="134">
        <v>152.0</v>
      </c>
      <c r="B153" s="134" t="s">
        <v>311</v>
      </c>
      <c r="C153" s="135"/>
      <c r="D153" s="135"/>
    </row>
    <row r="154">
      <c r="A154" s="134">
        <v>153.0</v>
      </c>
      <c r="B154" s="134" t="s">
        <v>312</v>
      </c>
      <c r="C154" s="135" t="s">
        <v>313</v>
      </c>
      <c r="D154" s="135"/>
    </row>
    <row r="155">
      <c r="A155" s="134">
        <v>154.0</v>
      </c>
      <c r="B155" s="134" t="s">
        <v>314</v>
      </c>
      <c r="C155" s="135"/>
      <c r="D155" s="135"/>
    </row>
    <row r="156">
      <c r="A156" s="134">
        <v>155.0</v>
      </c>
      <c r="B156" s="134" t="s">
        <v>315</v>
      </c>
      <c r="C156" s="134" t="s">
        <v>316</v>
      </c>
      <c r="D156" s="134"/>
    </row>
    <row r="157">
      <c r="A157" s="134">
        <v>156.0</v>
      </c>
      <c r="B157" s="134" t="s">
        <v>317</v>
      </c>
      <c r="C157" s="134" t="s">
        <v>318</v>
      </c>
      <c r="D157" s="134"/>
    </row>
    <row r="158">
      <c r="A158" s="134">
        <v>157.0</v>
      </c>
      <c r="B158" s="134" t="s">
        <v>319</v>
      </c>
      <c r="C158" s="134" t="s">
        <v>320</v>
      </c>
      <c r="D158" s="134"/>
    </row>
    <row r="159">
      <c r="A159" s="134">
        <v>158.0</v>
      </c>
      <c r="B159" s="134" t="s">
        <v>321</v>
      </c>
      <c r="C159" s="134" t="s">
        <v>322</v>
      </c>
      <c r="D159" s="134"/>
    </row>
    <row r="160">
      <c r="A160" s="134">
        <v>159.0</v>
      </c>
      <c r="B160" s="134" t="s">
        <v>323</v>
      </c>
      <c r="C160" s="134" t="s">
        <v>324</v>
      </c>
      <c r="D160" s="134"/>
    </row>
    <row r="161">
      <c r="A161" s="134">
        <v>160.0</v>
      </c>
      <c r="B161" s="134" t="s">
        <v>325</v>
      </c>
      <c r="C161" s="134" t="s">
        <v>326</v>
      </c>
      <c r="D161" s="134"/>
    </row>
    <row r="162">
      <c r="A162" s="134">
        <v>161.0</v>
      </c>
      <c r="B162" s="134" t="s">
        <v>327</v>
      </c>
      <c r="C162" s="135" t="s">
        <v>328</v>
      </c>
      <c r="D162" s="135"/>
    </row>
    <row r="163">
      <c r="A163" s="134">
        <v>162.0</v>
      </c>
      <c r="B163" s="134" t="s">
        <v>329</v>
      </c>
      <c r="C163" s="134" t="s">
        <v>330</v>
      </c>
      <c r="D163" s="134"/>
    </row>
    <row r="164">
      <c r="A164" s="134">
        <v>163.0</v>
      </c>
      <c r="B164" s="134" t="s">
        <v>331</v>
      </c>
      <c r="C164" s="135" t="s">
        <v>332</v>
      </c>
      <c r="D164" s="135"/>
    </row>
    <row r="165">
      <c r="A165" s="134">
        <v>164.0</v>
      </c>
      <c r="B165" s="134" t="s">
        <v>333</v>
      </c>
      <c r="C165" s="134" t="s">
        <v>334</v>
      </c>
      <c r="D165" s="134"/>
    </row>
    <row r="166">
      <c r="A166" s="134">
        <v>165.0</v>
      </c>
      <c r="B166" s="134" t="s">
        <v>335</v>
      </c>
      <c r="C166" s="135" t="s">
        <v>336</v>
      </c>
      <c r="D166" s="135">
        <v>1000.0</v>
      </c>
    </row>
    <row r="167">
      <c r="A167" s="134">
        <v>166.0</v>
      </c>
      <c r="B167" s="134" t="s">
        <v>337</v>
      </c>
      <c r="C167" s="135" t="s">
        <v>338</v>
      </c>
      <c r="D167" s="135"/>
    </row>
    <row r="168">
      <c r="A168" s="134">
        <v>167.0</v>
      </c>
      <c r="B168" s="134" t="s">
        <v>339</v>
      </c>
      <c r="C168" s="134" t="s">
        <v>340</v>
      </c>
      <c r="D168" s="134"/>
    </row>
    <row r="169">
      <c r="A169" s="134">
        <v>168.0</v>
      </c>
      <c r="B169" s="134" t="s">
        <v>341</v>
      </c>
      <c r="C169" s="134" t="s">
        <v>342</v>
      </c>
      <c r="D169" s="134"/>
    </row>
    <row r="170">
      <c r="A170" s="134">
        <v>169.0</v>
      </c>
      <c r="B170" s="134" t="s">
        <v>343</v>
      </c>
      <c r="C170" s="134" t="s">
        <v>344</v>
      </c>
      <c r="D170" s="134"/>
    </row>
    <row r="171">
      <c r="A171" s="134">
        <v>170.0</v>
      </c>
      <c r="B171" s="134" t="s">
        <v>345</v>
      </c>
      <c r="C171" s="134" t="s">
        <v>346</v>
      </c>
      <c r="D171" s="134"/>
    </row>
    <row r="172">
      <c r="A172" s="134">
        <v>171.0</v>
      </c>
      <c r="B172" s="134" t="s">
        <v>348</v>
      </c>
      <c r="C172" s="135" t="s">
        <v>349</v>
      </c>
      <c r="D172" s="135"/>
    </row>
    <row r="173">
      <c r="A173" s="134">
        <v>172.0</v>
      </c>
      <c r="B173" s="134" t="s">
        <v>350</v>
      </c>
      <c r="C173" s="135"/>
      <c r="D173" s="135"/>
    </row>
    <row r="174">
      <c r="A174" s="134">
        <v>173.0</v>
      </c>
      <c r="B174" s="134" t="s">
        <v>351</v>
      </c>
      <c r="C174" s="134" t="s">
        <v>352</v>
      </c>
      <c r="D174" s="134"/>
    </row>
    <row r="175">
      <c r="A175" s="134">
        <v>174.0</v>
      </c>
      <c r="B175" s="134" t="s">
        <v>353</v>
      </c>
      <c r="C175" s="134" t="s">
        <v>354</v>
      </c>
      <c r="D175" s="134"/>
    </row>
    <row r="176">
      <c r="A176" s="134">
        <v>175.0</v>
      </c>
      <c r="B176" s="134" t="s">
        <v>355</v>
      </c>
      <c r="C176" s="134" t="s">
        <v>356</v>
      </c>
      <c r="D176" s="134">
        <v>1000.0</v>
      </c>
    </row>
    <row r="177">
      <c r="A177" s="134">
        <v>176.0</v>
      </c>
      <c r="B177" s="134" t="s">
        <v>357</v>
      </c>
      <c r="C177" s="134" t="s">
        <v>358</v>
      </c>
      <c r="D177" s="134"/>
    </row>
    <row r="178">
      <c r="A178" s="134">
        <v>177.0</v>
      </c>
      <c r="B178" s="134" t="s">
        <v>359</v>
      </c>
      <c r="C178" s="134" t="s">
        <v>360</v>
      </c>
      <c r="D178" s="134"/>
    </row>
    <row r="179">
      <c r="A179" s="134">
        <v>178.0</v>
      </c>
      <c r="B179" s="134" t="s">
        <v>361</v>
      </c>
      <c r="C179" s="134" t="s">
        <v>362</v>
      </c>
      <c r="D179" s="136">
        <v>1000.0</v>
      </c>
    </row>
    <row r="180">
      <c r="A180" s="134">
        <v>179.0</v>
      </c>
      <c r="B180" s="134" t="s">
        <v>363</v>
      </c>
      <c r="C180" s="134" t="s">
        <v>364</v>
      </c>
      <c r="D180" s="134"/>
    </row>
    <row r="181">
      <c r="A181" s="134">
        <v>180.0</v>
      </c>
      <c r="B181" s="134" t="s">
        <v>365</v>
      </c>
      <c r="C181" s="134" t="s">
        <v>366</v>
      </c>
      <c r="D181" s="134"/>
    </row>
    <row r="182">
      <c r="A182" s="134">
        <v>181.0</v>
      </c>
      <c r="B182" s="134" t="s">
        <v>367</v>
      </c>
      <c r="C182" s="134" t="s">
        <v>368</v>
      </c>
      <c r="D182" s="134"/>
    </row>
    <row r="183">
      <c r="A183" s="134">
        <v>182.0</v>
      </c>
      <c r="B183" s="134" t="s">
        <v>369</v>
      </c>
      <c r="C183" s="134" t="s">
        <v>370</v>
      </c>
      <c r="D183" s="134"/>
    </row>
    <row r="184">
      <c r="A184" s="134">
        <v>183.0</v>
      </c>
      <c r="B184" s="134" t="s">
        <v>371</v>
      </c>
      <c r="C184" s="135" t="s">
        <v>372</v>
      </c>
      <c r="D184" s="135"/>
    </row>
    <row r="185">
      <c r="A185" s="134">
        <v>184.0</v>
      </c>
      <c r="B185" s="134" t="s">
        <v>373</v>
      </c>
      <c r="C185" s="134" t="s">
        <v>374</v>
      </c>
      <c r="D185" s="134"/>
    </row>
    <row r="186">
      <c r="A186" s="134">
        <v>185.0</v>
      </c>
      <c r="B186" s="134" t="s">
        <v>375</v>
      </c>
      <c r="C186" s="134" t="s">
        <v>376</v>
      </c>
      <c r="D186" s="134"/>
    </row>
    <row r="187">
      <c r="A187" s="134">
        <v>186.0</v>
      </c>
      <c r="B187" s="134" t="s">
        <v>377</v>
      </c>
      <c r="C187" s="134" t="s">
        <v>378</v>
      </c>
      <c r="D187" s="134"/>
    </row>
    <row r="188">
      <c r="A188" s="134">
        <v>187.0</v>
      </c>
      <c r="B188" s="134" t="s">
        <v>379</v>
      </c>
      <c r="C188" s="134" t="s">
        <v>380</v>
      </c>
      <c r="D188" s="134"/>
    </row>
    <row r="189">
      <c r="A189" s="134">
        <v>188.0</v>
      </c>
      <c r="B189" s="134" t="s">
        <v>381</v>
      </c>
      <c r="C189" s="135"/>
      <c r="D189" s="135"/>
    </row>
    <row r="190">
      <c r="A190" s="134">
        <v>189.0</v>
      </c>
      <c r="B190" s="134" t="s">
        <v>382</v>
      </c>
      <c r="C190" s="134" t="s">
        <v>383</v>
      </c>
      <c r="D190" s="134"/>
    </row>
    <row r="191">
      <c r="A191" s="134">
        <v>190.0</v>
      </c>
      <c r="B191" s="134" t="s">
        <v>384</v>
      </c>
      <c r="C191" s="135" t="s">
        <v>385</v>
      </c>
      <c r="D191" s="134"/>
    </row>
    <row r="192">
      <c r="A192" s="134">
        <v>191.0</v>
      </c>
      <c r="B192" s="134" t="s">
        <v>386</v>
      </c>
      <c r="C192" s="134" t="s">
        <v>387</v>
      </c>
      <c r="D192" s="134"/>
    </row>
    <row r="193">
      <c r="A193" s="134">
        <v>192.0</v>
      </c>
      <c r="B193" s="134" t="s">
        <v>388</v>
      </c>
      <c r="C193" s="134" t="s">
        <v>389</v>
      </c>
      <c r="D193" s="134"/>
    </row>
    <row r="194">
      <c r="A194" s="134">
        <v>193.0</v>
      </c>
      <c r="B194" s="134" t="s">
        <v>390</v>
      </c>
      <c r="C194" s="134" t="s">
        <v>391</v>
      </c>
      <c r="D194" s="134"/>
    </row>
    <row r="195">
      <c r="A195" s="134">
        <v>194.0</v>
      </c>
      <c r="B195" s="134" t="s">
        <v>392</v>
      </c>
      <c r="C195" s="135" t="s">
        <v>393</v>
      </c>
      <c r="D195" s="135"/>
    </row>
    <row r="196">
      <c r="A196" s="134">
        <v>195.0</v>
      </c>
      <c r="B196" s="134" t="s">
        <v>394</v>
      </c>
      <c r="C196" s="135" t="s">
        <v>395</v>
      </c>
      <c r="D196" s="135"/>
    </row>
    <row r="197">
      <c r="A197" s="134">
        <v>196.0</v>
      </c>
      <c r="B197" s="134" t="s">
        <v>396</v>
      </c>
      <c r="C197" s="134" t="s">
        <v>397</v>
      </c>
      <c r="D197" s="134"/>
    </row>
    <row r="198">
      <c r="A198" s="134">
        <v>197.0</v>
      </c>
      <c r="B198" s="134" t="s">
        <v>398</v>
      </c>
      <c r="C198" s="135"/>
      <c r="D198" s="135"/>
    </row>
    <row r="199">
      <c r="A199" s="134">
        <v>198.0</v>
      </c>
      <c r="B199" s="134" t="s">
        <v>399</v>
      </c>
      <c r="C199" s="134" t="s">
        <v>400</v>
      </c>
      <c r="D199" s="134"/>
    </row>
    <row r="200">
      <c r="A200" s="134">
        <v>199.0</v>
      </c>
      <c r="B200" s="134" t="s">
        <v>401</v>
      </c>
      <c r="C200" s="135" t="s">
        <v>402</v>
      </c>
      <c r="D200" s="135"/>
    </row>
    <row r="201">
      <c r="A201" s="134">
        <v>200.0</v>
      </c>
      <c r="B201" s="134" t="s">
        <v>403</v>
      </c>
      <c r="C201" s="134" t="s">
        <v>404</v>
      </c>
      <c r="D201" s="134"/>
    </row>
    <row r="202">
      <c r="A202" s="134">
        <v>201.0</v>
      </c>
      <c r="B202" s="134" t="s">
        <v>405</v>
      </c>
      <c r="C202" s="134" t="s">
        <v>406</v>
      </c>
      <c r="D202" s="134"/>
    </row>
    <row r="203">
      <c r="A203" s="134">
        <v>202.0</v>
      </c>
      <c r="B203" s="134" t="s">
        <v>407</v>
      </c>
      <c r="C203" s="134" t="s">
        <v>408</v>
      </c>
      <c r="D203" s="134"/>
    </row>
    <row r="204">
      <c r="A204" s="134">
        <v>203.0</v>
      </c>
      <c r="B204" s="134" t="s">
        <v>409</v>
      </c>
      <c r="C204" s="135" t="s">
        <v>410</v>
      </c>
      <c r="D204" s="134"/>
    </row>
    <row r="205">
      <c r="A205" s="134">
        <v>204.0</v>
      </c>
      <c r="B205" s="134" t="s">
        <v>411</v>
      </c>
      <c r="C205" s="135" t="s">
        <v>412</v>
      </c>
      <c r="D205" s="134"/>
    </row>
    <row r="206">
      <c r="A206" s="134">
        <v>205.0</v>
      </c>
      <c r="B206" s="134" t="s">
        <v>413</v>
      </c>
      <c r="C206" s="135" t="s">
        <v>414</v>
      </c>
      <c r="D206" s="135"/>
    </row>
    <row r="207">
      <c r="A207" s="134">
        <v>206.0</v>
      </c>
      <c r="B207" s="134" t="s">
        <v>415</v>
      </c>
      <c r="C207" s="134" t="s">
        <v>416</v>
      </c>
      <c r="D207" s="134"/>
    </row>
    <row r="208">
      <c r="A208" s="134">
        <v>207.0</v>
      </c>
      <c r="B208" s="134" t="s">
        <v>417</v>
      </c>
      <c r="C208" s="135" t="s">
        <v>418</v>
      </c>
      <c r="D208" s="135"/>
    </row>
    <row r="209">
      <c r="A209" s="134">
        <v>208.0</v>
      </c>
      <c r="B209" s="134" t="s">
        <v>419</v>
      </c>
      <c r="C209" s="134" t="s">
        <v>420</v>
      </c>
      <c r="D209" s="134"/>
    </row>
    <row r="210">
      <c r="A210" s="134">
        <v>209.0</v>
      </c>
      <c r="B210" s="134" t="s">
        <v>421</v>
      </c>
      <c r="C210" s="134" t="s">
        <v>422</v>
      </c>
      <c r="D210" s="134"/>
    </row>
    <row r="211">
      <c r="A211" s="134">
        <v>210.0</v>
      </c>
      <c r="B211" s="134" t="s">
        <v>423</v>
      </c>
      <c r="C211" s="134" t="s">
        <v>424</v>
      </c>
      <c r="D211" s="134"/>
    </row>
    <row r="212">
      <c r="A212" s="134">
        <v>211.0</v>
      </c>
      <c r="B212" s="134" t="s">
        <v>425</v>
      </c>
      <c r="C212" s="134" t="s">
        <v>426</v>
      </c>
      <c r="D212" s="134"/>
    </row>
    <row r="213">
      <c r="A213" s="134">
        <v>212.0</v>
      </c>
      <c r="B213" s="134" t="s">
        <v>427</v>
      </c>
      <c r="C213" s="134" t="s">
        <v>428</v>
      </c>
      <c r="D213" s="134"/>
    </row>
    <row r="214">
      <c r="A214" s="134">
        <v>213.0</v>
      </c>
      <c r="B214" s="134" t="s">
        <v>429</v>
      </c>
      <c r="C214" s="135"/>
      <c r="D214" s="135"/>
    </row>
    <row r="215">
      <c r="A215" s="134">
        <v>214.0</v>
      </c>
      <c r="B215" s="134" t="s">
        <v>430</v>
      </c>
      <c r="C215" s="134" t="s">
        <v>431</v>
      </c>
      <c r="D215" s="134"/>
    </row>
    <row r="216">
      <c r="A216" s="134">
        <v>215.0</v>
      </c>
      <c r="B216" s="134" t="s">
        <v>432</v>
      </c>
      <c r="C216" s="134" t="s">
        <v>433</v>
      </c>
      <c r="D216" s="134"/>
    </row>
    <row r="217">
      <c r="A217" s="134">
        <v>216.0</v>
      </c>
      <c r="B217" s="134" t="s">
        <v>434</v>
      </c>
      <c r="C217" s="134" t="s">
        <v>435</v>
      </c>
      <c r="D217" s="134"/>
    </row>
    <row r="218">
      <c r="A218" s="134">
        <v>217.0</v>
      </c>
      <c r="B218" s="134" t="s">
        <v>436</v>
      </c>
      <c r="C218" s="134" t="s">
        <v>437</v>
      </c>
      <c r="D218" s="134"/>
    </row>
    <row r="219">
      <c r="A219" s="134">
        <v>218.0</v>
      </c>
      <c r="B219" s="134" t="s">
        <v>438</v>
      </c>
      <c r="C219" s="134" t="s">
        <v>439</v>
      </c>
      <c r="D219" s="134"/>
    </row>
    <row r="220">
      <c r="A220" s="134">
        <v>219.0</v>
      </c>
      <c r="B220" s="134" t="s">
        <v>440</v>
      </c>
      <c r="C220" s="134" t="s">
        <v>441</v>
      </c>
      <c r="D220" s="134"/>
    </row>
    <row r="221">
      <c r="A221" s="134">
        <v>220.0</v>
      </c>
      <c r="B221" s="134" t="s">
        <v>442</v>
      </c>
      <c r="C221" s="134" t="s">
        <v>443</v>
      </c>
      <c r="D221" s="134"/>
    </row>
    <row r="222">
      <c r="A222" s="134">
        <v>221.0</v>
      </c>
      <c r="B222" s="134" t="s">
        <v>444</v>
      </c>
      <c r="C222" s="134" t="s">
        <v>445</v>
      </c>
      <c r="D222" s="134"/>
    </row>
    <row r="223">
      <c r="A223" s="134">
        <v>222.0</v>
      </c>
      <c r="B223" s="134" t="s">
        <v>446</v>
      </c>
      <c r="C223" s="134" t="s">
        <v>447</v>
      </c>
      <c r="D223" s="134"/>
    </row>
    <row r="224">
      <c r="A224" s="134">
        <v>223.0</v>
      </c>
      <c r="B224" s="134" t="s">
        <v>448</v>
      </c>
      <c r="C224" s="135" t="s">
        <v>449</v>
      </c>
      <c r="D224" s="135"/>
    </row>
    <row r="225">
      <c r="A225" s="134">
        <v>224.0</v>
      </c>
      <c r="B225" s="134" t="s">
        <v>450</v>
      </c>
      <c r="C225" s="135" t="s">
        <v>451</v>
      </c>
      <c r="D225" s="135"/>
    </row>
    <row r="226">
      <c r="A226" s="134">
        <v>225.0</v>
      </c>
      <c r="B226" s="134" t="s">
        <v>452</v>
      </c>
      <c r="C226" s="134" t="s">
        <v>453</v>
      </c>
      <c r="D226" s="134"/>
    </row>
    <row r="227">
      <c r="A227" s="134">
        <v>226.0</v>
      </c>
      <c r="B227" s="134" t="s">
        <v>454</v>
      </c>
      <c r="C227" s="134" t="s">
        <v>455</v>
      </c>
      <c r="D227" s="134"/>
    </row>
    <row r="228">
      <c r="A228" s="134">
        <v>227.0</v>
      </c>
      <c r="B228" s="134" t="s">
        <v>456</v>
      </c>
      <c r="C228" s="134" t="s">
        <v>457</v>
      </c>
      <c r="D228" s="134"/>
    </row>
    <row r="229">
      <c r="A229" s="134">
        <v>228.0</v>
      </c>
      <c r="B229" s="134" t="s">
        <v>458</v>
      </c>
      <c r="C229" s="134" t="s">
        <v>457</v>
      </c>
      <c r="D229" s="134"/>
    </row>
    <row r="230">
      <c r="A230" s="134">
        <v>229.0</v>
      </c>
      <c r="B230" s="134" t="s">
        <v>459</v>
      </c>
      <c r="C230" s="134" t="s">
        <v>460</v>
      </c>
      <c r="D230" s="134"/>
    </row>
    <row r="231">
      <c r="A231" s="134">
        <v>230.0</v>
      </c>
      <c r="B231" s="134" t="s">
        <v>461</v>
      </c>
      <c r="C231" s="134" t="s">
        <v>462</v>
      </c>
      <c r="D231" s="134"/>
    </row>
    <row r="232">
      <c r="A232" s="134">
        <v>231.0</v>
      </c>
      <c r="B232" s="134" t="s">
        <v>463</v>
      </c>
      <c r="C232" s="135"/>
      <c r="D232" s="135"/>
    </row>
    <row r="233">
      <c r="A233" s="134">
        <v>232.0</v>
      </c>
      <c r="B233" s="134" t="s">
        <v>465</v>
      </c>
      <c r="C233" s="134" t="s">
        <v>466</v>
      </c>
      <c r="D233" s="134"/>
    </row>
    <row r="234">
      <c r="A234" s="134">
        <v>233.0</v>
      </c>
      <c r="B234" s="134" t="s">
        <v>467</v>
      </c>
      <c r="C234" s="134" t="s">
        <v>468</v>
      </c>
      <c r="D234" s="134"/>
    </row>
    <row r="235">
      <c r="A235" s="134">
        <v>234.0</v>
      </c>
      <c r="B235" s="134" t="s">
        <v>469</v>
      </c>
      <c r="C235" s="134" t="s">
        <v>470</v>
      </c>
      <c r="D235" s="134"/>
    </row>
    <row r="236">
      <c r="A236" s="134">
        <v>235.0</v>
      </c>
      <c r="B236" s="134" t="s">
        <v>471</v>
      </c>
      <c r="C236" s="135"/>
      <c r="D236" s="135"/>
    </row>
    <row r="237">
      <c r="A237" s="134">
        <v>236.0</v>
      </c>
      <c r="B237" s="134" t="s">
        <v>472</v>
      </c>
      <c r="C237" s="135"/>
      <c r="D237" s="135"/>
    </row>
    <row r="238">
      <c r="A238" s="134">
        <v>237.0</v>
      </c>
      <c r="B238" s="134" t="s">
        <v>473</v>
      </c>
      <c r="C238" s="134" t="s">
        <v>474</v>
      </c>
      <c r="D238" s="134"/>
    </row>
    <row r="239">
      <c r="A239" s="134">
        <v>238.0</v>
      </c>
      <c r="B239" s="134" t="s">
        <v>475</v>
      </c>
      <c r="C239" s="134" t="s">
        <v>356</v>
      </c>
      <c r="D239" s="134"/>
    </row>
    <row r="240">
      <c r="A240" s="134">
        <v>239.0</v>
      </c>
      <c r="B240" s="134" t="s">
        <v>476</v>
      </c>
      <c r="C240" s="134" t="s">
        <v>477</v>
      </c>
      <c r="D240" s="134"/>
    </row>
    <row r="241">
      <c r="A241" s="134">
        <v>240.0</v>
      </c>
      <c r="B241" s="134" t="s">
        <v>478</v>
      </c>
      <c r="C241" s="135" t="s">
        <v>479</v>
      </c>
      <c r="D241" s="135"/>
    </row>
    <row r="242">
      <c r="A242" s="134">
        <v>241.0</v>
      </c>
      <c r="B242" s="134" t="s">
        <v>480</v>
      </c>
      <c r="C242" s="134" t="s">
        <v>481</v>
      </c>
      <c r="D242" s="134"/>
    </row>
    <row r="243">
      <c r="A243" s="134">
        <v>242.0</v>
      </c>
      <c r="B243" s="134" t="s">
        <v>482</v>
      </c>
      <c r="C243" s="134" t="s">
        <v>483</v>
      </c>
      <c r="D243" s="134"/>
    </row>
    <row r="244">
      <c r="A244" s="134">
        <v>243.0</v>
      </c>
      <c r="B244" s="134" t="s">
        <v>484</v>
      </c>
      <c r="C244" s="135"/>
      <c r="D244" s="135"/>
    </row>
    <row r="245">
      <c r="A245" s="134">
        <v>244.0</v>
      </c>
      <c r="B245" s="134" t="s">
        <v>485</v>
      </c>
      <c r="C245" s="134" t="s">
        <v>486</v>
      </c>
      <c r="D245" s="134"/>
    </row>
    <row r="246">
      <c r="A246" s="134">
        <v>245.0</v>
      </c>
      <c r="B246" s="134" t="s">
        <v>487</v>
      </c>
      <c r="C246" s="135" t="s">
        <v>488</v>
      </c>
      <c r="D246" s="135"/>
    </row>
    <row r="247">
      <c r="A247" s="134">
        <v>246.0</v>
      </c>
      <c r="B247" s="134" t="s">
        <v>489</v>
      </c>
      <c r="C247" s="135" t="s">
        <v>490</v>
      </c>
      <c r="D247" s="134"/>
    </row>
    <row r="248">
      <c r="A248" s="134">
        <v>247.0</v>
      </c>
      <c r="B248" s="134" t="s">
        <v>491</v>
      </c>
      <c r="C248" s="134" t="s">
        <v>185</v>
      </c>
      <c r="D248" s="134"/>
    </row>
    <row r="249">
      <c r="A249" s="134">
        <v>248.0</v>
      </c>
      <c r="B249" s="134" t="s">
        <v>492</v>
      </c>
      <c r="C249" s="134" t="s">
        <v>493</v>
      </c>
      <c r="D249" s="134"/>
    </row>
    <row r="250">
      <c r="A250" s="134">
        <v>249.0</v>
      </c>
      <c r="B250" s="134" t="s">
        <v>494</v>
      </c>
      <c r="C250" s="135" t="s">
        <v>495</v>
      </c>
      <c r="D250" s="135"/>
    </row>
    <row r="251">
      <c r="A251" s="134">
        <v>250.0</v>
      </c>
      <c r="B251" s="134" t="s">
        <v>496</v>
      </c>
      <c r="C251" s="134" t="s">
        <v>497</v>
      </c>
      <c r="D251" s="134"/>
    </row>
    <row r="252">
      <c r="A252" s="134">
        <v>251.0</v>
      </c>
      <c r="B252" s="134" t="s">
        <v>498</v>
      </c>
      <c r="C252" s="135"/>
      <c r="D252" s="135"/>
    </row>
    <row r="253">
      <c r="A253" s="134">
        <v>252.0</v>
      </c>
      <c r="B253" s="134" t="s">
        <v>499</v>
      </c>
      <c r="C253" s="135"/>
      <c r="D253" s="135"/>
    </row>
    <row r="254">
      <c r="A254" s="134">
        <v>253.0</v>
      </c>
      <c r="B254" s="134" t="s">
        <v>500</v>
      </c>
      <c r="C254" s="135"/>
      <c r="D254" s="135"/>
    </row>
    <row r="255">
      <c r="A255" s="134">
        <v>254.0</v>
      </c>
      <c r="B255" s="134" t="s">
        <v>501</v>
      </c>
      <c r="C255" s="135"/>
      <c r="D255" s="135"/>
    </row>
    <row r="256">
      <c r="A256" s="134">
        <v>255.0</v>
      </c>
      <c r="B256" s="134" t="s">
        <v>502</v>
      </c>
      <c r="C256" s="135"/>
      <c r="D256" s="135"/>
    </row>
    <row r="257">
      <c r="A257" s="134">
        <v>256.0</v>
      </c>
      <c r="B257" s="134" t="s">
        <v>503</v>
      </c>
      <c r="C257" s="134" t="s">
        <v>504</v>
      </c>
      <c r="D257" s="134"/>
    </row>
    <row r="258">
      <c r="A258" s="134">
        <v>257.0</v>
      </c>
      <c r="B258" s="134" t="s">
        <v>505</v>
      </c>
      <c r="C258" s="135"/>
      <c r="D258" s="135"/>
    </row>
    <row r="259">
      <c r="A259" s="134">
        <v>258.0</v>
      </c>
      <c r="B259" s="134" t="s">
        <v>506</v>
      </c>
      <c r="C259" s="134" t="s">
        <v>507</v>
      </c>
      <c r="D259" s="134"/>
    </row>
    <row r="260">
      <c r="A260" s="135">
        <v>259.0</v>
      </c>
      <c r="B260" s="134" t="s">
        <v>508</v>
      </c>
      <c r="C260" s="135" t="s">
        <v>509</v>
      </c>
      <c r="D260" s="135"/>
    </row>
    <row r="261">
      <c r="A261" s="135">
        <v>260.0</v>
      </c>
      <c r="B261" s="135" t="s">
        <v>510</v>
      </c>
      <c r="C261" s="135"/>
      <c r="D261" s="135"/>
    </row>
    <row r="262">
      <c r="C262" s="137"/>
      <c r="D262" s="137"/>
    </row>
    <row r="263">
      <c r="C263" s="137"/>
      <c r="D263" s="137"/>
    </row>
    <row r="264">
      <c r="C264" s="137"/>
      <c r="D264" s="137"/>
    </row>
    <row r="265">
      <c r="C265" s="137"/>
      <c r="D265" s="137"/>
    </row>
    <row r="266">
      <c r="C266" s="137"/>
      <c r="D266" s="137"/>
    </row>
    <row r="267">
      <c r="C267" s="137"/>
      <c r="D267" s="137"/>
    </row>
    <row r="268">
      <c r="C268" s="137"/>
      <c r="D268" s="137"/>
    </row>
    <row r="269">
      <c r="C269" s="137"/>
      <c r="D269" s="137"/>
    </row>
    <row r="270">
      <c r="C270" s="137"/>
      <c r="D270" s="137"/>
    </row>
    <row r="271">
      <c r="C271" s="137"/>
      <c r="D271" s="137"/>
    </row>
    <row r="272">
      <c r="C272" s="137"/>
      <c r="D272" s="137"/>
    </row>
    <row r="273">
      <c r="C273" s="137"/>
      <c r="D273" s="137"/>
    </row>
    <row r="274">
      <c r="C274" s="137"/>
      <c r="D274" s="137"/>
    </row>
    <row r="275">
      <c r="C275" s="137"/>
      <c r="D275" s="137"/>
    </row>
    <row r="276">
      <c r="C276" s="137"/>
      <c r="D276" s="137"/>
    </row>
    <row r="277">
      <c r="C277" s="137"/>
      <c r="D277" s="137"/>
    </row>
    <row r="278">
      <c r="C278" s="137"/>
      <c r="D278" s="137"/>
    </row>
    <row r="279">
      <c r="C279" s="137"/>
      <c r="D279" s="137"/>
    </row>
    <row r="280">
      <c r="C280" s="137"/>
      <c r="D280" s="137"/>
    </row>
    <row r="281">
      <c r="C281" s="137"/>
      <c r="D281" s="137"/>
    </row>
    <row r="282">
      <c r="C282" s="137"/>
      <c r="D282" s="137"/>
    </row>
    <row r="283">
      <c r="C283" s="137"/>
      <c r="D283" s="137"/>
    </row>
    <row r="284">
      <c r="C284" s="137"/>
      <c r="D284" s="137"/>
    </row>
    <row r="285">
      <c r="C285" s="137"/>
      <c r="D285" s="137"/>
    </row>
    <row r="286">
      <c r="C286" s="137"/>
      <c r="D286" s="137"/>
    </row>
    <row r="287">
      <c r="C287" s="137"/>
      <c r="D287" s="137"/>
    </row>
    <row r="288">
      <c r="C288" s="137"/>
      <c r="D288" s="137"/>
    </row>
    <row r="289">
      <c r="C289" s="137"/>
      <c r="D289" s="137"/>
    </row>
    <row r="290">
      <c r="C290" s="137"/>
      <c r="D290" s="137"/>
    </row>
    <row r="291">
      <c r="C291" s="137"/>
      <c r="D291" s="137"/>
    </row>
    <row r="292">
      <c r="C292" s="137"/>
      <c r="D292" s="137"/>
    </row>
    <row r="293">
      <c r="C293" s="137"/>
      <c r="D293" s="137"/>
    </row>
    <row r="294">
      <c r="C294" s="137"/>
      <c r="D294" s="137"/>
    </row>
    <row r="295">
      <c r="C295" s="137"/>
      <c r="D295" s="137"/>
    </row>
    <row r="296">
      <c r="C296" s="137"/>
      <c r="D296" s="137"/>
    </row>
    <row r="297">
      <c r="C297" s="137"/>
      <c r="D297" s="137"/>
    </row>
    <row r="298">
      <c r="C298" s="137"/>
      <c r="D298" s="137"/>
    </row>
    <row r="299">
      <c r="C299" s="137"/>
      <c r="D299" s="137"/>
    </row>
    <row r="300">
      <c r="C300" s="137"/>
      <c r="D300" s="137"/>
    </row>
    <row r="301">
      <c r="C301" s="137"/>
      <c r="D301" s="137"/>
    </row>
    <row r="302">
      <c r="C302" s="137"/>
      <c r="D302" s="137"/>
    </row>
    <row r="303">
      <c r="C303" s="137"/>
      <c r="D303" s="137"/>
    </row>
    <row r="304">
      <c r="C304" s="137"/>
      <c r="D304" s="137"/>
    </row>
    <row r="305">
      <c r="C305" s="137"/>
      <c r="D305" s="137"/>
    </row>
    <row r="306">
      <c r="C306" s="137"/>
      <c r="D306" s="137"/>
    </row>
    <row r="307">
      <c r="C307" s="137"/>
      <c r="D307" s="137"/>
    </row>
    <row r="308">
      <c r="C308" s="137"/>
      <c r="D308" s="137"/>
    </row>
    <row r="309">
      <c r="C309" s="137"/>
      <c r="D309" s="137"/>
    </row>
    <row r="310">
      <c r="C310" s="137"/>
      <c r="D310" s="137"/>
    </row>
    <row r="311">
      <c r="C311" s="137"/>
      <c r="D311" s="137"/>
    </row>
    <row r="312">
      <c r="C312" s="137"/>
      <c r="D312" s="137"/>
    </row>
    <row r="313">
      <c r="C313" s="137"/>
      <c r="D313" s="137"/>
    </row>
    <row r="314">
      <c r="C314" s="137"/>
      <c r="D314" s="137"/>
    </row>
    <row r="315">
      <c r="C315" s="137"/>
      <c r="D315" s="137"/>
    </row>
    <row r="316">
      <c r="C316" s="137"/>
      <c r="D316" s="137"/>
    </row>
    <row r="317">
      <c r="C317" s="137"/>
      <c r="D317" s="137"/>
    </row>
    <row r="318">
      <c r="C318" s="137"/>
      <c r="D318" s="137"/>
    </row>
    <row r="319">
      <c r="C319" s="137"/>
      <c r="D319" s="137"/>
    </row>
    <row r="320">
      <c r="C320" s="137"/>
      <c r="D320" s="137"/>
    </row>
    <row r="321">
      <c r="C321" s="137"/>
      <c r="D321" s="137"/>
    </row>
    <row r="322">
      <c r="C322" s="137"/>
      <c r="D322" s="137"/>
    </row>
    <row r="323">
      <c r="C323" s="137"/>
      <c r="D323" s="137"/>
    </row>
    <row r="324">
      <c r="C324" s="137"/>
      <c r="D324" s="137"/>
    </row>
    <row r="325">
      <c r="C325" s="137"/>
      <c r="D325" s="137"/>
    </row>
    <row r="326">
      <c r="C326" s="137"/>
      <c r="D326" s="137"/>
    </row>
    <row r="327">
      <c r="C327" s="137"/>
      <c r="D327" s="137"/>
    </row>
    <row r="328">
      <c r="C328" s="137"/>
      <c r="D328" s="137"/>
    </row>
    <row r="329">
      <c r="C329" s="137"/>
      <c r="D329" s="137"/>
    </row>
    <row r="330">
      <c r="C330" s="137"/>
      <c r="D330" s="137"/>
    </row>
    <row r="331">
      <c r="C331" s="137"/>
      <c r="D331" s="137"/>
    </row>
    <row r="332">
      <c r="C332" s="137"/>
      <c r="D332" s="137"/>
    </row>
    <row r="333">
      <c r="C333" s="137"/>
      <c r="D333" s="137"/>
    </row>
    <row r="334">
      <c r="C334" s="137"/>
      <c r="D334" s="137"/>
    </row>
    <row r="335">
      <c r="C335" s="137"/>
      <c r="D335" s="137"/>
    </row>
    <row r="336">
      <c r="C336" s="137"/>
      <c r="D336" s="137"/>
    </row>
    <row r="337">
      <c r="C337" s="137"/>
      <c r="D337" s="137"/>
    </row>
    <row r="338">
      <c r="C338" s="137"/>
      <c r="D338" s="137"/>
    </row>
    <row r="339">
      <c r="C339" s="137"/>
      <c r="D339" s="137"/>
    </row>
    <row r="340">
      <c r="C340" s="137"/>
      <c r="D340" s="137"/>
    </row>
    <row r="341">
      <c r="C341" s="137"/>
      <c r="D341" s="137"/>
    </row>
    <row r="342">
      <c r="C342" s="137"/>
      <c r="D342" s="137"/>
    </row>
    <row r="343">
      <c r="C343" s="137"/>
      <c r="D343" s="137"/>
    </row>
    <row r="344">
      <c r="C344" s="137"/>
      <c r="D344" s="137"/>
    </row>
    <row r="345">
      <c r="C345" s="137"/>
      <c r="D345" s="137"/>
    </row>
    <row r="346">
      <c r="C346" s="137"/>
      <c r="D346" s="137"/>
    </row>
    <row r="347">
      <c r="C347" s="137"/>
      <c r="D347" s="137"/>
    </row>
    <row r="348">
      <c r="C348" s="137"/>
      <c r="D348" s="137"/>
    </row>
    <row r="349">
      <c r="C349" s="137"/>
      <c r="D349" s="137"/>
    </row>
    <row r="350">
      <c r="C350" s="137"/>
      <c r="D350" s="137"/>
    </row>
    <row r="351">
      <c r="C351" s="137"/>
      <c r="D351" s="137"/>
    </row>
    <row r="352">
      <c r="C352" s="137"/>
      <c r="D352" s="137"/>
    </row>
    <row r="353">
      <c r="C353" s="137"/>
      <c r="D353" s="137"/>
    </row>
    <row r="354">
      <c r="C354" s="137"/>
      <c r="D354" s="137"/>
    </row>
    <row r="355">
      <c r="C355" s="137"/>
      <c r="D355" s="137"/>
    </row>
    <row r="356">
      <c r="C356" s="137"/>
      <c r="D356" s="137"/>
    </row>
    <row r="357">
      <c r="C357" s="137"/>
      <c r="D357" s="137"/>
    </row>
    <row r="358">
      <c r="C358" s="137"/>
      <c r="D358" s="137"/>
    </row>
    <row r="359">
      <c r="C359" s="137"/>
      <c r="D359" s="137"/>
    </row>
    <row r="360">
      <c r="C360" s="137"/>
      <c r="D360" s="137"/>
    </row>
    <row r="361">
      <c r="C361" s="137"/>
      <c r="D361" s="137"/>
    </row>
    <row r="362">
      <c r="C362" s="137"/>
      <c r="D362" s="137"/>
    </row>
    <row r="363">
      <c r="C363" s="137"/>
      <c r="D363" s="137"/>
    </row>
    <row r="364">
      <c r="C364" s="137"/>
      <c r="D364" s="137"/>
    </row>
    <row r="365">
      <c r="C365" s="137"/>
      <c r="D365" s="137"/>
    </row>
    <row r="366">
      <c r="C366" s="137"/>
      <c r="D366" s="137"/>
    </row>
    <row r="367">
      <c r="C367" s="137"/>
      <c r="D367" s="137"/>
    </row>
    <row r="368">
      <c r="C368" s="137"/>
      <c r="D368" s="137"/>
    </row>
    <row r="369">
      <c r="C369" s="137"/>
      <c r="D369" s="137"/>
    </row>
    <row r="370">
      <c r="C370" s="137"/>
      <c r="D370" s="137"/>
    </row>
    <row r="371">
      <c r="C371" s="137"/>
      <c r="D371" s="137"/>
    </row>
    <row r="372">
      <c r="C372" s="137"/>
      <c r="D372" s="137"/>
    </row>
    <row r="373">
      <c r="C373" s="137"/>
      <c r="D373" s="137"/>
    </row>
    <row r="374">
      <c r="C374" s="137"/>
      <c r="D374" s="137"/>
    </row>
    <row r="375">
      <c r="C375" s="137"/>
      <c r="D375" s="137"/>
    </row>
    <row r="376">
      <c r="C376" s="137"/>
      <c r="D376" s="137"/>
    </row>
    <row r="377">
      <c r="C377" s="137"/>
      <c r="D377" s="137"/>
    </row>
    <row r="378">
      <c r="C378" s="137"/>
      <c r="D378" s="137"/>
    </row>
    <row r="379">
      <c r="C379" s="137"/>
      <c r="D379" s="137"/>
    </row>
    <row r="380">
      <c r="C380" s="137"/>
      <c r="D380" s="137"/>
    </row>
    <row r="381">
      <c r="C381" s="137"/>
      <c r="D381" s="137"/>
    </row>
    <row r="382">
      <c r="C382" s="137"/>
      <c r="D382" s="137"/>
    </row>
    <row r="383">
      <c r="C383" s="137"/>
      <c r="D383" s="137"/>
    </row>
    <row r="384">
      <c r="C384" s="137"/>
      <c r="D384" s="137"/>
    </row>
    <row r="385">
      <c r="C385" s="137"/>
      <c r="D385" s="137"/>
    </row>
    <row r="386">
      <c r="C386" s="137"/>
      <c r="D386" s="137"/>
    </row>
    <row r="387">
      <c r="C387" s="137"/>
      <c r="D387" s="137"/>
    </row>
    <row r="388">
      <c r="C388" s="137"/>
      <c r="D388" s="137"/>
    </row>
    <row r="389">
      <c r="C389" s="137"/>
      <c r="D389" s="137"/>
    </row>
    <row r="390">
      <c r="C390" s="137"/>
      <c r="D390" s="137"/>
    </row>
    <row r="391">
      <c r="C391" s="137"/>
      <c r="D391" s="137"/>
    </row>
    <row r="392">
      <c r="C392" s="137"/>
      <c r="D392" s="137"/>
    </row>
    <row r="393">
      <c r="C393" s="137"/>
      <c r="D393" s="137"/>
    </row>
    <row r="394">
      <c r="C394" s="137"/>
      <c r="D394" s="137"/>
    </row>
    <row r="395">
      <c r="C395" s="137"/>
      <c r="D395" s="137"/>
    </row>
    <row r="396">
      <c r="C396" s="137"/>
      <c r="D396" s="137"/>
    </row>
    <row r="397">
      <c r="C397" s="137"/>
      <c r="D397" s="137"/>
    </row>
    <row r="398">
      <c r="C398" s="137"/>
      <c r="D398" s="137"/>
    </row>
    <row r="399">
      <c r="C399" s="137"/>
      <c r="D399" s="137"/>
    </row>
    <row r="400">
      <c r="C400" s="137"/>
      <c r="D400" s="137"/>
    </row>
    <row r="401">
      <c r="C401" s="137"/>
      <c r="D401" s="137"/>
    </row>
    <row r="402">
      <c r="C402" s="137"/>
      <c r="D402" s="137"/>
    </row>
    <row r="403">
      <c r="C403" s="137"/>
      <c r="D403" s="137"/>
    </row>
    <row r="404">
      <c r="C404" s="137"/>
      <c r="D404" s="137"/>
    </row>
    <row r="405">
      <c r="C405" s="137"/>
      <c r="D405" s="137"/>
    </row>
    <row r="406">
      <c r="C406" s="137"/>
      <c r="D406" s="137"/>
    </row>
    <row r="407">
      <c r="C407" s="137"/>
      <c r="D407" s="137"/>
    </row>
    <row r="408">
      <c r="C408" s="137"/>
      <c r="D408" s="137"/>
    </row>
    <row r="409">
      <c r="C409" s="137"/>
      <c r="D409" s="137"/>
    </row>
    <row r="410">
      <c r="C410" s="137"/>
      <c r="D410" s="137"/>
    </row>
    <row r="411">
      <c r="C411" s="137"/>
      <c r="D411" s="137"/>
    </row>
    <row r="412">
      <c r="C412" s="137"/>
      <c r="D412" s="137"/>
    </row>
    <row r="413">
      <c r="C413" s="137"/>
      <c r="D413" s="137"/>
    </row>
    <row r="414">
      <c r="C414" s="137"/>
      <c r="D414" s="137"/>
    </row>
    <row r="415">
      <c r="C415" s="137"/>
      <c r="D415" s="137"/>
    </row>
    <row r="416">
      <c r="C416" s="137"/>
      <c r="D416" s="137"/>
    </row>
    <row r="417">
      <c r="C417" s="137"/>
      <c r="D417" s="137"/>
    </row>
    <row r="418">
      <c r="C418" s="137"/>
      <c r="D418" s="137"/>
    </row>
    <row r="419">
      <c r="C419" s="137"/>
      <c r="D419" s="137"/>
    </row>
    <row r="420">
      <c r="C420" s="137"/>
      <c r="D420" s="137"/>
    </row>
    <row r="421">
      <c r="C421" s="137"/>
      <c r="D421" s="137"/>
    </row>
    <row r="422">
      <c r="C422" s="137"/>
      <c r="D422" s="137"/>
    </row>
    <row r="423">
      <c r="C423" s="137"/>
      <c r="D423" s="137"/>
    </row>
    <row r="424">
      <c r="C424" s="137"/>
      <c r="D424" s="137"/>
    </row>
    <row r="425">
      <c r="C425" s="137"/>
      <c r="D425" s="137"/>
    </row>
    <row r="426">
      <c r="C426" s="137"/>
      <c r="D426" s="137"/>
    </row>
    <row r="427">
      <c r="C427" s="137"/>
      <c r="D427" s="137"/>
    </row>
    <row r="428">
      <c r="C428" s="137"/>
      <c r="D428" s="137"/>
    </row>
    <row r="429">
      <c r="C429" s="137"/>
      <c r="D429" s="137"/>
    </row>
    <row r="430">
      <c r="C430" s="137"/>
      <c r="D430" s="137"/>
    </row>
    <row r="431">
      <c r="C431" s="137"/>
      <c r="D431" s="137"/>
    </row>
    <row r="432">
      <c r="C432" s="137"/>
      <c r="D432" s="137"/>
    </row>
    <row r="433">
      <c r="C433" s="137"/>
      <c r="D433" s="137"/>
    </row>
    <row r="434">
      <c r="C434" s="137"/>
      <c r="D434" s="137"/>
    </row>
    <row r="435">
      <c r="C435" s="137"/>
      <c r="D435" s="137"/>
    </row>
    <row r="436">
      <c r="C436" s="137"/>
      <c r="D436" s="137"/>
    </row>
    <row r="437">
      <c r="C437" s="137"/>
      <c r="D437" s="137"/>
    </row>
    <row r="438">
      <c r="C438" s="137"/>
      <c r="D438" s="137"/>
    </row>
    <row r="439">
      <c r="C439" s="137"/>
      <c r="D439" s="137"/>
    </row>
    <row r="440">
      <c r="C440" s="137"/>
      <c r="D440" s="137"/>
    </row>
    <row r="441">
      <c r="C441" s="137"/>
      <c r="D441" s="137"/>
    </row>
    <row r="442">
      <c r="C442" s="137"/>
      <c r="D442" s="137"/>
    </row>
    <row r="443">
      <c r="C443" s="137"/>
      <c r="D443" s="137"/>
    </row>
    <row r="444">
      <c r="C444" s="137"/>
      <c r="D444" s="137"/>
    </row>
    <row r="445">
      <c r="C445" s="137"/>
      <c r="D445" s="137"/>
    </row>
    <row r="446">
      <c r="C446" s="137"/>
      <c r="D446" s="137"/>
    </row>
    <row r="447">
      <c r="C447" s="137"/>
      <c r="D447" s="137"/>
    </row>
    <row r="448">
      <c r="C448" s="137"/>
      <c r="D448" s="137"/>
    </row>
    <row r="449">
      <c r="C449" s="137"/>
      <c r="D449" s="137"/>
    </row>
    <row r="450">
      <c r="C450" s="137"/>
      <c r="D450" s="137"/>
    </row>
    <row r="451">
      <c r="C451" s="137"/>
      <c r="D451" s="137"/>
    </row>
    <row r="452">
      <c r="C452" s="137"/>
      <c r="D452" s="137"/>
    </row>
    <row r="453">
      <c r="C453" s="137"/>
      <c r="D453" s="137"/>
    </row>
    <row r="454">
      <c r="C454" s="137"/>
      <c r="D454" s="137"/>
    </row>
    <row r="455">
      <c r="C455" s="137"/>
      <c r="D455" s="137"/>
    </row>
    <row r="456">
      <c r="C456" s="137"/>
      <c r="D456" s="137"/>
    </row>
    <row r="457">
      <c r="C457" s="137"/>
      <c r="D457" s="137"/>
    </row>
    <row r="458">
      <c r="C458" s="137"/>
      <c r="D458" s="137"/>
    </row>
    <row r="459">
      <c r="C459" s="137"/>
      <c r="D459" s="137"/>
    </row>
    <row r="460">
      <c r="C460" s="137"/>
      <c r="D460" s="137"/>
    </row>
    <row r="461">
      <c r="C461" s="137"/>
      <c r="D461" s="137"/>
    </row>
    <row r="462">
      <c r="C462" s="137"/>
      <c r="D462" s="137"/>
    </row>
    <row r="463">
      <c r="C463" s="137"/>
      <c r="D463" s="137"/>
    </row>
    <row r="464">
      <c r="C464" s="137"/>
      <c r="D464" s="137"/>
    </row>
    <row r="465">
      <c r="C465" s="137"/>
      <c r="D465" s="137"/>
    </row>
    <row r="466">
      <c r="C466" s="137"/>
      <c r="D466" s="137"/>
    </row>
    <row r="467">
      <c r="C467" s="137"/>
      <c r="D467" s="137"/>
    </row>
    <row r="468">
      <c r="C468" s="137"/>
      <c r="D468" s="137"/>
    </row>
    <row r="469">
      <c r="C469" s="137"/>
      <c r="D469" s="137"/>
    </row>
    <row r="470">
      <c r="C470" s="137"/>
      <c r="D470" s="137"/>
    </row>
    <row r="471">
      <c r="C471" s="137"/>
      <c r="D471" s="137"/>
    </row>
    <row r="472">
      <c r="C472" s="137"/>
      <c r="D472" s="137"/>
    </row>
    <row r="473">
      <c r="C473" s="137"/>
      <c r="D473" s="137"/>
    </row>
    <row r="474">
      <c r="C474" s="137"/>
      <c r="D474" s="137"/>
    </row>
    <row r="475">
      <c r="C475" s="137"/>
      <c r="D475" s="137"/>
    </row>
    <row r="476">
      <c r="C476" s="137"/>
      <c r="D476" s="137"/>
    </row>
    <row r="477">
      <c r="C477" s="137"/>
      <c r="D477" s="137"/>
    </row>
    <row r="478">
      <c r="C478" s="137"/>
      <c r="D478" s="137"/>
    </row>
    <row r="479">
      <c r="C479" s="137"/>
      <c r="D479" s="137"/>
    </row>
    <row r="480">
      <c r="C480" s="137"/>
      <c r="D480" s="137"/>
    </row>
    <row r="481">
      <c r="C481" s="137"/>
      <c r="D481" s="137"/>
    </row>
    <row r="482">
      <c r="C482" s="137"/>
      <c r="D482" s="137"/>
    </row>
    <row r="483">
      <c r="C483" s="137"/>
      <c r="D483" s="137"/>
    </row>
    <row r="484">
      <c r="C484" s="137"/>
      <c r="D484" s="137"/>
    </row>
    <row r="485">
      <c r="C485" s="137"/>
      <c r="D485" s="137"/>
    </row>
    <row r="486">
      <c r="C486" s="137"/>
      <c r="D486" s="137"/>
    </row>
    <row r="487">
      <c r="C487" s="137"/>
      <c r="D487" s="137"/>
    </row>
    <row r="488">
      <c r="C488" s="137"/>
      <c r="D488" s="137"/>
    </row>
    <row r="489">
      <c r="C489" s="137"/>
      <c r="D489" s="137"/>
    </row>
    <row r="490">
      <c r="C490" s="137"/>
      <c r="D490" s="137"/>
    </row>
    <row r="491">
      <c r="C491" s="137"/>
      <c r="D491" s="137"/>
    </row>
    <row r="492">
      <c r="C492" s="137"/>
      <c r="D492" s="137"/>
    </row>
    <row r="493">
      <c r="C493" s="137"/>
      <c r="D493" s="137"/>
    </row>
    <row r="494">
      <c r="C494" s="137"/>
      <c r="D494" s="137"/>
    </row>
    <row r="495">
      <c r="C495" s="137"/>
      <c r="D495" s="137"/>
    </row>
    <row r="496">
      <c r="C496" s="137"/>
      <c r="D496" s="137"/>
    </row>
    <row r="497">
      <c r="C497" s="137"/>
      <c r="D497" s="137"/>
    </row>
    <row r="498">
      <c r="C498" s="137"/>
      <c r="D498" s="137"/>
    </row>
    <row r="499">
      <c r="C499" s="137"/>
      <c r="D499" s="137"/>
    </row>
    <row r="500">
      <c r="C500" s="137"/>
      <c r="D500" s="137"/>
    </row>
    <row r="501">
      <c r="C501" s="137"/>
      <c r="D501" s="137"/>
    </row>
    <row r="502">
      <c r="C502" s="137"/>
      <c r="D502" s="137"/>
    </row>
    <row r="503">
      <c r="C503" s="137"/>
      <c r="D503" s="137"/>
    </row>
    <row r="504">
      <c r="C504" s="137"/>
      <c r="D504" s="137"/>
    </row>
    <row r="505">
      <c r="C505" s="137"/>
      <c r="D505" s="137"/>
    </row>
    <row r="506">
      <c r="C506" s="137"/>
      <c r="D506" s="137"/>
    </row>
    <row r="507">
      <c r="C507" s="137"/>
      <c r="D507" s="137"/>
    </row>
    <row r="508">
      <c r="C508" s="137"/>
      <c r="D508" s="137"/>
    </row>
    <row r="509">
      <c r="C509" s="137"/>
      <c r="D509" s="137"/>
    </row>
    <row r="510">
      <c r="C510" s="137"/>
      <c r="D510" s="137"/>
    </row>
    <row r="511">
      <c r="C511" s="137"/>
      <c r="D511" s="137"/>
    </row>
    <row r="512">
      <c r="C512" s="137"/>
      <c r="D512" s="137"/>
    </row>
    <row r="513">
      <c r="C513" s="137"/>
      <c r="D513" s="137"/>
    </row>
    <row r="514">
      <c r="C514" s="137"/>
      <c r="D514" s="137"/>
    </row>
    <row r="515">
      <c r="C515" s="137"/>
      <c r="D515" s="137"/>
    </row>
    <row r="516">
      <c r="C516" s="137"/>
      <c r="D516" s="137"/>
    </row>
    <row r="517">
      <c r="C517" s="137"/>
      <c r="D517" s="137"/>
    </row>
    <row r="518">
      <c r="C518" s="137"/>
      <c r="D518" s="137"/>
    </row>
    <row r="519">
      <c r="C519" s="137"/>
      <c r="D519" s="137"/>
    </row>
    <row r="520">
      <c r="C520" s="137"/>
      <c r="D520" s="137"/>
    </row>
    <row r="521">
      <c r="C521" s="137"/>
      <c r="D521" s="137"/>
    </row>
    <row r="522">
      <c r="C522" s="137"/>
      <c r="D522" s="137"/>
    </row>
    <row r="523">
      <c r="C523" s="137"/>
      <c r="D523" s="137"/>
    </row>
    <row r="524">
      <c r="C524" s="137"/>
      <c r="D524" s="137"/>
    </row>
    <row r="525">
      <c r="C525" s="137"/>
      <c r="D525" s="137"/>
    </row>
    <row r="526">
      <c r="C526" s="137"/>
      <c r="D526" s="137"/>
    </row>
    <row r="527">
      <c r="C527" s="137"/>
      <c r="D527" s="137"/>
    </row>
    <row r="528">
      <c r="C528" s="137"/>
      <c r="D528" s="137"/>
    </row>
    <row r="529">
      <c r="C529" s="137"/>
      <c r="D529" s="137"/>
    </row>
    <row r="530">
      <c r="C530" s="137"/>
      <c r="D530" s="137"/>
    </row>
    <row r="531">
      <c r="C531" s="137"/>
      <c r="D531" s="137"/>
    </row>
    <row r="532">
      <c r="C532" s="137"/>
      <c r="D532" s="137"/>
    </row>
    <row r="533">
      <c r="C533" s="137"/>
      <c r="D533" s="137"/>
    </row>
    <row r="534">
      <c r="C534" s="137"/>
      <c r="D534" s="137"/>
    </row>
    <row r="535">
      <c r="C535" s="137"/>
      <c r="D535" s="137"/>
    </row>
    <row r="536">
      <c r="C536" s="137"/>
      <c r="D536" s="137"/>
    </row>
    <row r="537">
      <c r="C537" s="137"/>
      <c r="D537" s="137"/>
    </row>
    <row r="538">
      <c r="C538" s="137"/>
      <c r="D538" s="137"/>
    </row>
    <row r="539">
      <c r="C539" s="137"/>
      <c r="D539" s="137"/>
    </row>
    <row r="540">
      <c r="C540" s="137"/>
      <c r="D540" s="137"/>
    </row>
    <row r="541">
      <c r="C541" s="137"/>
      <c r="D541" s="137"/>
    </row>
    <row r="542">
      <c r="C542" s="137"/>
      <c r="D542" s="137"/>
    </row>
    <row r="543">
      <c r="C543" s="137"/>
      <c r="D543" s="137"/>
    </row>
    <row r="544">
      <c r="C544" s="137"/>
      <c r="D544" s="137"/>
    </row>
    <row r="545">
      <c r="C545" s="137"/>
      <c r="D545" s="137"/>
    </row>
    <row r="546">
      <c r="C546" s="137"/>
      <c r="D546" s="137"/>
    </row>
    <row r="547">
      <c r="C547" s="137"/>
      <c r="D547" s="137"/>
    </row>
    <row r="548">
      <c r="C548" s="137"/>
      <c r="D548" s="137"/>
    </row>
    <row r="549">
      <c r="C549" s="137"/>
      <c r="D549" s="137"/>
    </row>
    <row r="550">
      <c r="C550" s="137"/>
      <c r="D550" s="137"/>
    </row>
    <row r="551">
      <c r="C551" s="137"/>
      <c r="D551" s="137"/>
    </row>
    <row r="552">
      <c r="C552" s="137"/>
      <c r="D552" s="137"/>
    </row>
    <row r="553">
      <c r="C553" s="137"/>
      <c r="D553" s="137"/>
    </row>
    <row r="554">
      <c r="C554" s="137"/>
      <c r="D554" s="137"/>
    </row>
    <row r="555">
      <c r="C555" s="137"/>
      <c r="D555" s="137"/>
    </row>
    <row r="556">
      <c r="C556" s="137"/>
      <c r="D556" s="137"/>
    </row>
    <row r="557">
      <c r="C557" s="137"/>
      <c r="D557" s="137"/>
    </row>
    <row r="558">
      <c r="C558" s="137"/>
      <c r="D558" s="137"/>
    </row>
    <row r="559">
      <c r="C559" s="137"/>
      <c r="D559" s="137"/>
    </row>
    <row r="560">
      <c r="C560" s="137"/>
      <c r="D560" s="137"/>
    </row>
    <row r="561">
      <c r="C561" s="137"/>
      <c r="D561" s="137"/>
    </row>
    <row r="562">
      <c r="C562" s="137"/>
      <c r="D562" s="137"/>
    </row>
    <row r="563">
      <c r="C563" s="137"/>
      <c r="D563" s="137"/>
    </row>
    <row r="564">
      <c r="C564" s="137"/>
      <c r="D564" s="137"/>
    </row>
    <row r="565">
      <c r="C565" s="137"/>
      <c r="D565" s="137"/>
    </row>
    <row r="566">
      <c r="C566" s="137"/>
      <c r="D566" s="137"/>
    </row>
    <row r="567">
      <c r="C567" s="137"/>
      <c r="D567" s="137"/>
    </row>
    <row r="568">
      <c r="C568" s="137"/>
      <c r="D568" s="137"/>
    </row>
    <row r="569">
      <c r="C569" s="137"/>
      <c r="D569" s="137"/>
    </row>
    <row r="570">
      <c r="C570" s="137"/>
      <c r="D570" s="137"/>
    </row>
    <row r="571">
      <c r="C571" s="137"/>
      <c r="D571" s="137"/>
    </row>
    <row r="572">
      <c r="C572" s="137"/>
      <c r="D572" s="137"/>
    </row>
    <row r="573">
      <c r="C573" s="137"/>
      <c r="D573" s="137"/>
    </row>
    <row r="574">
      <c r="C574" s="137"/>
      <c r="D574" s="137"/>
    </row>
    <row r="575">
      <c r="C575" s="137"/>
      <c r="D575" s="137"/>
    </row>
    <row r="576">
      <c r="C576" s="137"/>
      <c r="D576" s="137"/>
    </row>
    <row r="577">
      <c r="C577" s="137"/>
      <c r="D577" s="137"/>
    </row>
    <row r="578">
      <c r="C578" s="137"/>
      <c r="D578" s="137"/>
    </row>
    <row r="579">
      <c r="C579" s="137"/>
      <c r="D579" s="137"/>
    </row>
    <row r="580">
      <c r="C580" s="137"/>
      <c r="D580" s="137"/>
    </row>
    <row r="581">
      <c r="C581" s="137"/>
      <c r="D581" s="137"/>
    </row>
    <row r="582">
      <c r="C582" s="137"/>
      <c r="D582" s="137"/>
    </row>
    <row r="583">
      <c r="C583" s="137"/>
      <c r="D583" s="137"/>
    </row>
    <row r="584">
      <c r="C584" s="137"/>
      <c r="D584" s="137"/>
    </row>
    <row r="585">
      <c r="C585" s="137"/>
      <c r="D585" s="137"/>
    </row>
    <row r="586">
      <c r="C586" s="137"/>
      <c r="D586" s="137"/>
    </row>
    <row r="587">
      <c r="C587" s="137"/>
      <c r="D587" s="137"/>
    </row>
    <row r="588">
      <c r="C588" s="137"/>
      <c r="D588" s="137"/>
    </row>
    <row r="589">
      <c r="C589" s="137"/>
      <c r="D589" s="137"/>
    </row>
    <row r="590">
      <c r="C590" s="137"/>
      <c r="D590" s="137"/>
    </row>
    <row r="591">
      <c r="C591" s="137"/>
      <c r="D591" s="137"/>
    </row>
    <row r="592">
      <c r="C592" s="137"/>
      <c r="D592" s="137"/>
    </row>
    <row r="593">
      <c r="C593" s="137"/>
      <c r="D593" s="137"/>
    </row>
    <row r="594">
      <c r="C594" s="137"/>
      <c r="D594" s="137"/>
    </row>
    <row r="595">
      <c r="C595" s="137"/>
      <c r="D595" s="137"/>
    </row>
    <row r="596">
      <c r="C596" s="137"/>
      <c r="D596" s="137"/>
    </row>
    <row r="597">
      <c r="C597" s="137"/>
      <c r="D597" s="137"/>
    </row>
    <row r="598">
      <c r="C598" s="137"/>
      <c r="D598" s="137"/>
    </row>
    <row r="599">
      <c r="C599" s="137"/>
      <c r="D599" s="137"/>
    </row>
    <row r="600">
      <c r="C600" s="137"/>
      <c r="D600" s="137"/>
    </row>
    <row r="601">
      <c r="C601" s="137"/>
      <c r="D601" s="137"/>
    </row>
    <row r="602">
      <c r="C602" s="137"/>
      <c r="D602" s="137"/>
    </row>
    <row r="603">
      <c r="C603" s="137"/>
      <c r="D603" s="137"/>
    </row>
    <row r="604">
      <c r="C604" s="137"/>
      <c r="D604" s="137"/>
    </row>
    <row r="605">
      <c r="C605" s="137"/>
      <c r="D605" s="137"/>
    </row>
    <row r="606">
      <c r="C606" s="137"/>
      <c r="D606" s="137"/>
    </row>
    <row r="607">
      <c r="C607" s="137"/>
      <c r="D607" s="137"/>
    </row>
    <row r="608">
      <c r="C608" s="137"/>
      <c r="D608" s="137"/>
    </row>
    <row r="609">
      <c r="C609" s="137"/>
      <c r="D609" s="137"/>
    </row>
    <row r="610">
      <c r="C610" s="137"/>
      <c r="D610" s="137"/>
    </row>
    <row r="611">
      <c r="C611" s="137"/>
      <c r="D611" s="137"/>
    </row>
    <row r="612">
      <c r="C612" s="137"/>
      <c r="D612" s="137"/>
    </row>
    <row r="613">
      <c r="C613" s="137"/>
      <c r="D613" s="137"/>
    </row>
    <row r="614">
      <c r="C614" s="137"/>
      <c r="D614" s="137"/>
    </row>
    <row r="615">
      <c r="C615" s="137"/>
      <c r="D615" s="137"/>
    </row>
    <row r="616">
      <c r="C616" s="137"/>
      <c r="D616" s="137"/>
    </row>
    <row r="617">
      <c r="C617" s="137"/>
      <c r="D617" s="137"/>
    </row>
    <row r="618">
      <c r="C618" s="137"/>
      <c r="D618" s="137"/>
    </row>
    <row r="619">
      <c r="C619" s="137"/>
      <c r="D619" s="137"/>
    </row>
    <row r="620">
      <c r="C620" s="137"/>
      <c r="D620" s="137"/>
    </row>
    <row r="621">
      <c r="C621" s="137"/>
      <c r="D621" s="137"/>
    </row>
    <row r="622">
      <c r="C622" s="137"/>
      <c r="D622" s="137"/>
    </row>
    <row r="623">
      <c r="C623" s="137"/>
      <c r="D623" s="137"/>
    </row>
    <row r="624">
      <c r="C624" s="137"/>
      <c r="D624" s="137"/>
    </row>
    <row r="625">
      <c r="C625" s="137"/>
      <c r="D625" s="137"/>
    </row>
    <row r="626">
      <c r="C626" s="137"/>
      <c r="D626" s="137"/>
    </row>
    <row r="627">
      <c r="C627" s="137"/>
      <c r="D627" s="137"/>
    </row>
    <row r="628">
      <c r="C628" s="137"/>
      <c r="D628" s="137"/>
    </row>
    <row r="629">
      <c r="C629" s="137"/>
      <c r="D629" s="137"/>
    </row>
    <row r="630">
      <c r="C630" s="137"/>
      <c r="D630" s="137"/>
    </row>
    <row r="631">
      <c r="C631" s="137"/>
      <c r="D631" s="137"/>
    </row>
    <row r="632">
      <c r="C632" s="137"/>
      <c r="D632" s="137"/>
    </row>
    <row r="633">
      <c r="C633" s="137"/>
      <c r="D633" s="137"/>
    </row>
    <row r="634">
      <c r="C634" s="137"/>
      <c r="D634" s="137"/>
    </row>
    <row r="635">
      <c r="C635" s="137"/>
      <c r="D635" s="137"/>
    </row>
    <row r="636">
      <c r="C636" s="137"/>
      <c r="D636" s="137"/>
    </row>
    <row r="637">
      <c r="C637" s="137"/>
      <c r="D637" s="137"/>
    </row>
    <row r="638">
      <c r="C638" s="137"/>
      <c r="D638" s="137"/>
    </row>
    <row r="639">
      <c r="C639" s="137"/>
      <c r="D639" s="137"/>
    </row>
    <row r="640">
      <c r="C640" s="137"/>
      <c r="D640" s="137"/>
    </row>
    <row r="641">
      <c r="C641" s="137"/>
      <c r="D641" s="137"/>
    </row>
    <row r="642">
      <c r="C642" s="137"/>
      <c r="D642" s="137"/>
    </row>
    <row r="643">
      <c r="C643" s="137"/>
      <c r="D643" s="137"/>
    </row>
    <row r="644">
      <c r="C644" s="137"/>
      <c r="D644" s="137"/>
    </row>
    <row r="645">
      <c r="C645" s="137"/>
      <c r="D645" s="137"/>
    </row>
    <row r="646">
      <c r="C646" s="137"/>
      <c r="D646" s="137"/>
    </row>
    <row r="647">
      <c r="C647" s="137"/>
      <c r="D647" s="137"/>
    </row>
    <row r="648">
      <c r="C648" s="137"/>
      <c r="D648" s="137"/>
    </row>
    <row r="649">
      <c r="C649" s="137"/>
      <c r="D649" s="137"/>
    </row>
    <row r="650">
      <c r="C650" s="137"/>
      <c r="D650" s="137"/>
    </row>
    <row r="651">
      <c r="C651" s="137"/>
      <c r="D651" s="137"/>
    </row>
    <row r="652">
      <c r="C652" s="137"/>
      <c r="D652" s="137"/>
    </row>
    <row r="653">
      <c r="C653" s="137"/>
      <c r="D653" s="137"/>
    </row>
    <row r="654">
      <c r="C654" s="137"/>
      <c r="D654" s="137"/>
    </row>
    <row r="655">
      <c r="C655" s="137"/>
      <c r="D655" s="137"/>
    </row>
    <row r="656">
      <c r="C656" s="137"/>
      <c r="D656" s="137"/>
    </row>
    <row r="657">
      <c r="C657" s="137"/>
      <c r="D657" s="137"/>
    </row>
    <row r="658">
      <c r="C658" s="137"/>
      <c r="D658" s="137"/>
    </row>
    <row r="659">
      <c r="C659" s="137"/>
      <c r="D659" s="137"/>
    </row>
    <row r="660">
      <c r="C660" s="137"/>
      <c r="D660" s="137"/>
    </row>
    <row r="661">
      <c r="C661" s="137"/>
      <c r="D661" s="137"/>
    </row>
    <row r="662">
      <c r="C662" s="137"/>
      <c r="D662" s="137"/>
    </row>
    <row r="663">
      <c r="C663" s="137"/>
      <c r="D663" s="137"/>
    </row>
    <row r="664">
      <c r="C664" s="137"/>
      <c r="D664" s="137"/>
    </row>
    <row r="665">
      <c r="C665" s="137"/>
      <c r="D665" s="137"/>
    </row>
    <row r="666">
      <c r="C666" s="137"/>
      <c r="D666" s="137"/>
    </row>
    <row r="667">
      <c r="C667" s="137"/>
      <c r="D667" s="137"/>
    </row>
    <row r="668">
      <c r="C668" s="137"/>
      <c r="D668" s="137"/>
    </row>
    <row r="669">
      <c r="C669" s="137"/>
      <c r="D669" s="137"/>
    </row>
    <row r="670">
      <c r="C670" s="137"/>
      <c r="D670" s="137"/>
    </row>
    <row r="671">
      <c r="C671" s="137"/>
      <c r="D671" s="137"/>
    </row>
    <row r="672">
      <c r="C672" s="137"/>
      <c r="D672" s="137"/>
    </row>
    <row r="673">
      <c r="C673" s="137"/>
      <c r="D673" s="137"/>
    </row>
    <row r="674">
      <c r="C674" s="137"/>
      <c r="D674" s="137"/>
    </row>
    <row r="675">
      <c r="C675" s="137"/>
      <c r="D675" s="137"/>
    </row>
    <row r="676">
      <c r="C676" s="137"/>
      <c r="D676" s="137"/>
    </row>
    <row r="677">
      <c r="C677" s="137"/>
      <c r="D677" s="137"/>
    </row>
    <row r="678">
      <c r="C678" s="137"/>
      <c r="D678" s="137"/>
    </row>
    <row r="679">
      <c r="C679" s="137"/>
      <c r="D679" s="137"/>
    </row>
    <row r="680">
      <c r="C680" s="137"/>
      <c r="D680" s="137"/>
    </row>
    <row r="681">
      <c r="C681" s="137"/>
      <c r="D681" s="137"/>
    </row>
    <row r="682">
      <c r="C682" s="137"/>
      <c r="D682" s="137"/>
    </row>
    <row r="683">
      <c r="C683" s="137"/>
      <c r="D683" s="137"/>
    </row>
    <row r="684">
      <c r="C684" s="137"/>
      <c r="D684" s="137"/>
    </row>
    <row r="685">
      <c r="C685" s="137"/>
      <c r="D685" s="137"/>
    </row>
    <row r="686">
      <c r="C686" s="137"/>
      <c r="D686" s="137"/>
    </row>
    <row r="687">
      <c r="C687" s="137"/>
      <c r="D687" s="137"/>
    </row>
    <row r="688">
      <c r="C688" s="137"/>
      <c r="D688" s="137"/>
    </row>
    <row r="689">
      <c r="C689" s="137"/>
      <c r="D689" s="137"/>
    </row>
    <row r="690">
      <c r="C690" s="137"/>
      <c r="D690" s="137"/>
    </row>
    <row r="691">
      <c r="C691" s="137"/>
      <c r="D691" s="137"/>
    </row>
    <row r="692">
      <c r="C692" s="137"/>
      <c r="D692" s="137"/>
    </row>
    <row r="693">
      <c r="C693" s="137"/>
      <c r="D693" s="137"/>
    </row>
    <row r="694">
      <c r="C694" s="137"/>
      <c r="D694" s="137"/>
    </row>
    <row r="695">
      <c r="C695" s="137"/>
      <c r="D695" s="137"/>
    </row>
    <row r="696">
      <c r="C696" s="137"/>
      <c r="D696" s="137"/>
    </row>
    <row r="697">
      <c r="C697" s="137"/>
      <c r="D697" s="137"/>
    </row>
    <row r="698">
      <c r="C698" s="137"/>
      <c r="D698" s="137"/>
    </row>
    <row r="699">
      <c r="C699" s="137"/>
      <c r="D699" s="137"/>
    </row>
    <row r="700">
      <c r="C700" s="137"/>
      <c r="D700" s="137"/>
    </row>
    <row r="701">
      <c r="C701" s="137"/>
      <c r="D701" s="137"/>
    </row>
    <row r="702">
      <c r="C702" s="137"/>
      <c r="D702" s="137"/>
    </row>
    <row r="703">
      <c r="C703" s="137"/>
      <c r="D703" s="137"/>
    </row>
    <row r="704">
      <c r="C704" s="137"/>
      <c r="D704" s="137"/>
    </row>
    <row r="705">
      <c r="C705" s="137"/>
      <c r="D705" s="137"/>
    </row>
    <row r="706">
      <c r="C706" s="137"/>
      <c r="D706" s="137"/>
    </row>
    <row r="707">
      <c r="C707" s="137"/>
      <c r="D707" s="137"/>
    </row>
    <row r="708">
      <c r="C708" s="137"/>
      <c r="D708" s="137"/>
    </row>
    <row r="709">
      <c r="C709" s="137"/>
      <c r="D709" s="137"/>
    </row>
    <row r="710">
      <c r="C710" s="137"/>
      <c r="D710" s="137"/>
    </row>
    <row r="711">
      <c r="C711" s="137"/>
      <c r="D711" s="137"/>
    </row>
    <row r="712">
      <c r="C712" s="137"/>
      <c r="D712" s="137"/>
    </row>
    <row r="713">
      <c r="C713" s="137"/>
      <c r="D713" s="137"/>
    </row>
    <row r="714">
      <c r="C714" s="137"/>
      <c r="D714" s="137"/>
    </row>
    <row r="715">
      <c r="C715" s="137"/>
      <c r="D715" s="137"/>
    </row>
    <row r="716">
      <c r="C716" s="137"/>
      <c r="D716" s="137"/>
    </row>
    <row r="717">
      <c r="C717" s="137"/>
      <c r="D717" s="137"/>
    </row>
    <row r="718">
      <c r="C718" s="137"/>
      <c r="D718" s="137"/>
    </row>
    <row r="719">
      <c r="C719" s="137"/>
      <c r="D719" s="137"/>
    </row>
    <row r="720">
      <c r="C720" s="137"/>
      <c r="D720" s="137"/>
    </row>
    <row r="721">
      <c r="C721" s="137"/>
      <c r="D721" s="137"/>
    </row>
    <row r="722">
      <c r="C722" s="137"/>
      <c r="D722" s="137"/>
    </row>
    <row r="723">
      <c r="C723" s="137"/>
      <c r="D723" s="137"/>
    </row>
    <row r="724">
      <c r="C724" s="137"/>
      <c r="D724" s="137"/>
    </row>
    <row r="725">
      <c r="C725" s="137"/>
      <c r="D725" s="137"/>
    </row>
    <row r="726">
      <c r="C726" s="137"/>
      <c r="D726" s="137"/>
    </row>
    <row r="727">
      <c r="C727" s="137"/>
      <c r="D727" s="137"/>
    </row>
    <row r="728">
      <c r="C728" s="137"/>
      <c r="D728" s="137"/>
    </row>
    <row r="729">
      <c r="C729" s="137"/>
      <c r="D729" s="137"/>
    </row>
    <row r="730">
      <c r="C730" s="137"/>
      <c r="D730" s="137"/>
    </row>
    <row r="731">
      <c r="C731" s="137"/>
      <c r="D731" s="137"/>
    </row>
    <row r="732">
      <c r="C732" s="137"/>
      <c r="D732" s="137"/>
    </row>
    <row r="733">
      <c r="C733" s="137"/>
      <c r="D733" s="137"/>
    </row>
    <row r="734">
      <c r="C734" s="137"/>
      <c r="D734" s="137"/>
    </row>
    <row r="735">
      <c r="C735" s="137"/>
      <c r="D735" s="137"/>
    </row>
    <row r="736">
      <c r="C736" s="137"/>
      <c r="D736" s="137"/>
    </row>
    <row r="737">
      <c r="C737" s="137"/>
      <c r="D737" s="137"/>
    </row>
    <row r="738">
      <c r="C738" s="137"/>
      <c r="D738" s="137"/>
    </row>
    <row r="739">
      <c r="C739" s="137"/>
      <c r="D739" s="137"/>
    </row>
    <row r="740">
      <c r="C740" s="137"/>
      <c r="D740" s="137"/>
    </row>
    <row r="741">
      <c r="C741" s="137"/>
      <c r="D741" s="137"/>
    </row>
    <row r="742">
      <c r="C742" s="137"/>
      <c r="D742" s="137"/>
    </row>
    <row r="743">
      <c r="C743" s="137"/>
      <c r="D743" s="137"/>
    </row>
    <row r="744">
      <c r="C744" s="137"/>
      <c r="D744" s="137"/>
    </row>
    <row r="745">
      <c r="C745" s="137"/>
      <c r="D745" s="137"/>
    </row>
    <row r="746">
      <c r="C746" s="137"/>
      <c r="D746" s="137"/>
    </row>
    <row r="747">
      <c r="C747" s="137"/>
      <c r="D747" s="137"/>
    </row>
    <row r="748">
      <c r="C748" s="137"/>
      <c r="D748" s="137"/>
    </row>
    <row r="749">
      <c r="C749" s="137"/>
      <c r="D749" s="137"/>
    </row>
    <row r="750">
      <c r="C750" s="137"/>
      <c r="D750" s="137"/>
    </row>
    <row r="751">
      <c r="C751" s="137"/>
      <c r="D751" s="137"/>
    </row>
    <row r="752">
      <c r="C752" s="137"/>
      <c r="D752" s="137"/>
    </row>
    <row r="753">
      <c r="C753" s="137"/>
      <c r="D753" s="137"/>
    </row>
    <row r="754">
      <c r="C754" s="137"/>
      <c r="D754" s="137"/>
    </row>
    <row r="755">
      <c r="C755" s="137"/>
      <c r="D755" s="137"/>
    </row>
    <row r="756">
      <c r="C756" s="137"/>
      <c r="D756" s="137"/>
    </row>
    <row r="757">
      <c r="C757" s="137"/>
      <c r="D757" s="137"/>
    </row>
    <row r="758">
      <c r="C758" s="137"/>
      <c r="D758" s="137"/>
    </row>
    <row r="759">
      <c r="C759" s="137"/>
      <c r="D759" s="137"/>
    </row>
    <row r="760">
      <c r="C760" s="137"/>
      <c r="D760" s="137"/>
    </row>
    <row r="761">
      <c r="C761" s="137"/>
      <c r="D761" s="137"/>
    </row>
    <row r="762">
      <c r="C762" s="137"/>
      <c r="D762" s="137"/>
    </row>
    <row r="763">
      <c r="C763" s="137"/>
      <c r="D763" s="137"/>
    </row>
    <row r="764">
      <c r="C764" s="137"/>
      <c r="D764" s="137"/>
    </row>
    <row r="765">
      <c r="C765" s="137"/>
      <c r="D765" s="137"/>
    </row>
    <row r="766">
      <c r="C766" s="137"/>
      <c r="D766" s="137"/>
    </row>
    <row r="767">
      <c r="C767" s="137"/>
      <c r="D767" s="137"/>
    </row>
    <row r="768">
      <c r="C768" s="137"/>
      <c r="D768" s="137"/>
    </row>
    <row r="769">
      <c r="C769" s="137"/>
      <c r="D769" s="137"/>
    </row>
    <row r="770">
      <c r="C770" s="137"/>
      <c r="D770" s="137"/>
    </row>
    <row r="771">
      <c r="C771" s="137"/>
      <c r="D771" s="137"/>
    </row>
    <row r="772">
      <c r="C772" s="137"/>
      <c r="D772" s="137"/>
    </row>
    <row r="773">
      <c r="C773" s="137"/>
      <c r="D773" s="137"/>
    </row>
    <row r="774">
      <c r="C774" s="137"/>
      <c r="D774" s="137"/>
    </row>
    <row r="775">
      <c r="C775" s="137"/>
      <c r="D775" s="137"/>
    </row>
    <row r="776">
      <c r="C776" s="137"/>
      <c r="D776" s="137"/>
    </row>
    <row r="777">
      <c r="C777" s="137"/>
      <c r="D777" s="137"/>
    </row>
    <row r="778">
      <c r="C778" s="137"/>
      <c r="D778" s="137"/>
    </row>
    <row r="779">
      <c r="C779" s="137"/>
      <c r="D779" s="137"/>
    </row>
    <row r="780">
      <c r="C780" s="137"/>
      <c r="D780" s="137"/>
    </row>
    <row r="781">
      <c r="C781" s="137"/>
      <c r="D781" s="137"/>
    </row>
    <row r="782">
      <c r="C782" s="137"/>
      <c r="D782" s="137"/>
    </row>
    <row r="783">
      <c r="C783" s="137"/>
      <c r="D783" s="137"/>
    </row>
    <row r="784">
      <c r="C784" s="137"/>
      <c r="D784" s="137"/>
    </row>
    <row r="785">
      <c r="C785" s="137"/>
      <c r="D785" s="137"/>
    </row>
    <row r="786">
      <c r="C786" s="137"/>
      <c r="D786" s="137"/>
    </row>
    <row r="787">
      <c r="C787" s="137"/>
      <c r="D787" s="137"/>
    </row>
    <row r="788">
      <c r="C788" s="137"/>
      <c r="D788" s="137"/>
    </row>
    <row r="789">
      <c r="C789" s="137"/>
      <c r="D789" s="137"/>
    </row>
    <row r="790">
      <c r="C790" s="137"/>
      <c r="D790" s="137"/>
    </row>
    <row r="791">
      <c r="C791" s="137"/>
      <c r="D791" s="137"/>
    </row>
    <row r="792">
      <c r="C792" s="137"/>
      <c r="D792" s="137"/>
    </row>
    <row r="793">
      <c r="C793" s="137"/>
      <c r="D793" s="137"/>
    </row>
    <row r="794">
      <c r="C794" s="137"/>
      <c r="D794" s="137"/>
    </row>
    <row r="795">
      <c r="C795" s="137"/>
      <c r="D795" s="137"/>
    </row>
    <row r="796">
      <c r="C796" s="137"/>
      <c r="D796" s="137"/>
    </row>
    <row r="797">
      <c r="C797" s="137"/>
      <c r="D797" s="137"/>
    </row>
    <row r="798">
      <c r="C798" s="137"/>
      <c r="D798" s="137"/>
    </row>
    <row r="799">
      <c r="C799" s="137"/>
      <c r="D799" s="137"/>
    </row>
    <row r="800">
      <c r="C800" s="137"/>
      <c r="D800" s="137"/>
    </row>
    <row r="801">
      <c r="C801" s="137"/>
      <c r="D801" s="137"/>
    </row>
    <row r="802">
      <c r="C802" s="137"/>
      <c r="D802" s="137"/>
    </row>
    <row r="803">
      <c r="C803" s="137"/>
      <c r="D803" s="137"/>
    </row>
    <row r="804">
      <c r="C804" s="137"/>
      <c r="D804" s="137"/>
    </row>
    <row r="805">
      <c r="C805" s="137"/>
      <c r="D805" s="137"/>
    </row>
    <row r="806">
      <c r="C806" s="137"/>
      <c r="D806" s="137"/>
    </row>
    <row r="807">
      <c r="C807" s="137"/>
      <c r="D807" s="137"/>
    </row>
    <row r="808">
      <c r="C808" s="137"/>
      <c r="D808" s="137"/>
    </row>
    <row r="809">
      <c r="C809" s="137"/>
      <c r="D809" s="137"/>
    </row>
    <row r="810">
      <c r="C810" s="137"/>
      <c r="D810" s="137"/>
    </row>
    <row r="811">
      <c r="C811" s="137"/>
      <c r="D811" s="137"/>
    </row>
    <row r="812">
      <c r="C812" s="137"/>
      <c r="D812" s="137"/>
    </row>
    <row r="813">
      <c r="C813" s="137"/>
      <c r="D813" s="137"/>
    </row>
    <row r="814">
      <c r="C814" s="137"/>
      <c r="D814" s="137"/>
    </row>
    <row r="815">
      <c r="C815" s="137"/>
      <c r="D815" s="137"/>
    </row>
    <row r="816">
      <c r="C816" s="137"/>
      <c r="D816" s="137"/>
    </row>
    <row r="817">
      <c r="C817" s="137"/>
      <c r="D817" s="137"/>
    </row>
    <row r="818">
      <c r="C818" s="137"/>
      <c r="D818" s="137"/>
    </row>
    <row r="819">
      <c r="C819" s="137"/>
      <c r="D819" s="137"/>
    </row>
    <row r="820">
      <c r="C820" s="137"/>
      <c r="D820" s="137"/>
    </row>
    <row r="821">
      <c r="C821" s="137"/>
      <c r="D821" s="137"/>
    </row>
    <row r="822">
      <c r="C822" s="137"/>
      <c r="D822" s="137"/>
    </row>
    <row r="823">
      <c r="C823" s="137"/>
      <c r="D823" s="137"/>
    </row>
    <row r="824">
      <c r="C824" s="137"/>
      <c r="D824" s="137"/>
    </row>
    <row r="825">
      <c r="C825" s="137"/>
      <c r="D825" s="137"/>
    </row>
    <row r="826">
      <c r="C826" s="137"/>
      <c r="D826" s="137"/>
    </row>
    <row r="827">
      <c r="C827" s="137"/>
      <c r="D827" s="137"/>
    </row>
    <row r="828">
      <c r="C828" s="137"/>
      <c r="D828" s="137"/>
    </row>
    <row r="829">
      <c r="C829" s="137"/>
      <c r="D829" s="137"/>
    </row>
    <row r="830">
      <c r="C830" s="137"/>
      <c r="D830" s="137"/>
    </row>
    <row r="831">
      <c r="C831" s="137"/>
      <c r="D831" s="137"/>
    </row>
    <row r="832">
      <c r="C832" s="137"/>
      <c r="D832" s="137"/>
    </row>
    <row r="833">
      <c r="C833" s="137"/>
      <c r="D833" s="137"/>
    </row>
    <row r="834">
      <c r="C834" s="137"/>
      <c r="D834" s="137"/>
    </row>
    <row r="835">
      <c r="C835" s="137"/>
      <c r="D835" s="137"/>
    </row>
    <row r="836">
      <c r="C836" s="137"/>
      <c r="D836" s="137"/>
    </row>
    <row r="837">
      <c r="C837" s="137"/>
      <c r="D837" s="137"/>
    </row>
    <row r="838">
      <c r="C838" s="137"/>
      <c r="D838" s="137"/>
    </row>
    <row r="839">
      <c r="C839" s="137"/>
      <c r="D839" s="137"/>
    </row>
    <row r="840">
      <c r="C840" s="137"/>
      <c r="D840" s="137"/>
    </row>
    <row r="841">
      <c r="C841" s="137"/>
      <c r="D841" s="137"/>
    </row>
    <row r="842">
      <c r="C842" s="137"/>
      <c r="D842" s="137"/>
    </row>
    <row r="843">
      <c r="C843" s="137"/>
      <c r="D843" s="137"/>
    </row>
    <row r="844">
      <c r="C844" s="137"/>
      <c r="D844" s="137"/>
    </row>
    <row r="845">
      <c r="C845" s="137"/>
      <c r="D845" s="137"/>
    </row>
    <row r="846">
      <c r="C846" s="137"/>
      <c r="D846" s="137"/>
    </row>
    <row r="847">
      <c r="C847" s="137"/>
      <c r="D847" s="137"/>
    </row>
    <row r="848">
      <c r="C848" s="137"/>
      <c r="D848" s="137"/>
    </row>
    <row r="849">
      <c r="C849" s="137"/>
      <c r="D849" s="137"/>
    </row>
    <row r="850">
      <c r="C850" s="137"/>
      <c r="D850" s="137"/>
    </row>
    <row r="851">
      <c r="C851" s="137"/>
      <c r="D851" s="137"/>
    </row>
    <row r="852">
      <c r="C852" s="137"/>
      <c r="D852" s="137"/>
    </row>
    <row r="853">
      <c r="C853" s="137"/>
      <c r="D853" s="137"/>
    </row>
    <row r="854">
      <c r="C854" s="137"/>
      <c r="D854" s="137"/>
    </row>
    <row r="855">
      <c r="C855" s="137"/>
      <c r="D855" s="137"/>
    </row>
    <row r="856">
      <c r="C856" s="137"/>
      <c r="D856" s="137"/>
    </row>
    <row r="857">
      <c r="C857" s="137"/>
      <c r="D857" s="137"/>
    </row>
    <row r="858">
      <c r="C858" s="137"/>
      <c r="D858" s="137"/>
    </row>
    <row r="859">
      <c r="C859" s="137"/>
      <c r="D859" s="137"/>
    </row>
    <row r="860">
      <c r="C860" s="137"/>
      <c r="D860" s="137"/>
    </row>
    <row r="861">
      <c r="C861" s="137"/>
      <c r="D861" s="137"/>
    </row>
    <row r="862">
      <c r="C862" s="137"/>
      <c r="D862" s="137"/>
    </row>
    <row r="863">
      <c r="C863" s="137"/>
      <c r="D863" s="137"/>
    </row>
    <row r="864">
      <c r="C864" s="137"/>
      <c r="D864" s="137"/>
    </row>
    <row r="865">
      <c r="C865" s="137"/>
      <c r="D865" s="137"/>
    </row>
    <row r="866">
      <c r="C866" s="137"/>
      <c r="D866" s="137"/>
    </row>
    <row r="867">
      <c r="C867" s="137"/>
      <c r="D867" s="137"/>
    </row>
    <row r="868">
      <c r="C868" s="137"/>
      <c r="D868" s="137"/>
    </row>
    <row r="869">
      <c r="C869" s="137"/>
      <c r="D869" s="137"/>
    </row>
    <row r="870">
      <c r="C870" s="137"/>
      <c r="D870" s="137"/>
    </row>
    <row r="871">
      <c r="C871" s="137"/>
      <c r="D871" s="137"/>
    </row>
    <row r="872">
      <c r="C872" s="137"/>
      <c r="D872" s="137"/>
    </row>
    <row r="873">
      <c r="C873" s="137"/>
      <c r="D873" s="137"/>
    </row>
    <row r="874">
      <c r="C874" s="137"/>
      <c r="D874" s="137"/>
    </row>
    <row r="875">
      <c r="C875" s="137"/>
      <c r="D875" s="137"/>
    </row>
    <row r="876">
      <c r="C876" s="137"/>
      <c r="D876" s="137"/>
    </row>
    <row r="877">
      <c r="C877" s="137"/>
      <c r="D877" s="137"/>
    </row>
    <row r="878">
      <c r="C878" s="137"/>
      <c r="D878" s="137"/>
    </row>
    <row r="879">
      <c r="C879" s="137"/>
      <c r="D879" s="137"/>
    </row>
    <row r="880">
      <c r="C880" s="137"/>
      <c r="D880" s="137"/>
    </row>
    <row r="881">
      <c r="C881" s="137"/>
      <c r="D881" s="137"/>
    </row>
    <row r="882">
      <c r="C882" s="137"/>
      <c r="D882" s="137"/>
    </row>
    <row r="883">
      <c r="C883" s="137"/>
      <c r="D883" s="137"/>
    </row>
    <row r="884">
      <c r="C884" s="137"/>
      <c r="D884" s="137"/>
    </row>
    <row r="885">
      <c r="C885" s="137"/>
      <c r="D885" s="137"/>
    </row>
    <row r="886">
      <c r="C886" s="137"/>
      <c r="D886" s="137"/>
    </row>
    <row r="887">
      <c r="C887" s="137"/>
      <c r="D887" s="137"/>
    </row>
    <row r="888">
      <c r="C888" s="137"/>
      <c r="D888" s="137"/>
    </row>
    <row r="889">
      <c r="C889" s="137"/>
      <c r="D889" s="137"/>
    </row>
    <row r="890">
      <c r="C890" s="137"/>
      <c r="D890" s="137"/>
    </row>
    <row r="891">
      <c r="C891" s="137"/>
      <c r="D891" s="137"/>
    </row>
    <row r="892">
      <c r="C892" s="137"/>
      <c r="D892" s="137"/>
    </row>
    <row r="893">
      <c r="C893" s="137"/>
      <c r="D893" s="137"/>
    </row>
    <row r="894">
      <c r="C894" s="137"/>
      <c r="D894" s="137"/>
    </row>
    <row r="895">
      <c r="C895" s="137"/>
      <c r="D895" s="137"/>
    </row>
    <row r="896">
      <c r="C896" s="137"/>
      <c r="D896" s="137"/>
    </row>
    <row r="897">
      <c r="C897" s="137"/>
      <c r="D897" s="137"/>
    </row>
    <row r="898">
      <c r="C898" s="137"/>
      <c r="D898" s="137"/>
    </row>
    <row r="899">
      <c r="C899" s="137"/>
      <c r="D899" s="137"/>
    </row>
    <row r="900">
      <c r="C900" s="137"/>
      <c r="D900" s="137"/>
    </row>
    <row r="901">
      <c r="C901" s="137"/>
      <c r="D901" s="137"/>
    </row>
    <row r="902">
      <c r="C902" s="137"/>
      <c r="D902" s="137"/>
    </row>
    <row r="903">
      <c r="C903" s="137"/>
      <c r="D903" s="137"/>
    </row>
    <row r="904">
      <c r="C904" s="137"/>
      <c r="D904" s="137"/>
    </row>
    <row r="905">
      <c r="C905" s="137"/>
      <c r="D905" s="137"/>
    </row>
    <row r="906">
      <c r="C906" s="137"/>
      <c r="D906" s="137"/>
    </row>
    <row r="907">
      <c r="C907" s="137"/>
      <c r="D907" s="137"/>
    </row>
    <row r="908">
      <c r="C908" s="137"/>
      <c r="D908" s="137"/>
    </row>
    <row r="909">
      <c r="C909" s="137"/>
      <c r="D909" s="137"/>
    </row>
    <row r="910">
      <c r="C910" s="137"/>
      <c r="D910" s="137"/>
    </row>
    <row r="911">
      <c r="C911" s="137"/>
      <c r="D911" s="137"/>
    </row>
    <row r="912">
      <c r="C912" s="137"/>
      <c r="D912" s="137"/>
    </row>
    <row r="913">
      <c r="C913" s="137"/>
      <c r="D913" s="137"/>
    </row>
    <row r="914">
      <c r="C914" s="137"/>
      <c r="D914" s="137"/>
    </row>
    <row r="915">
      <c r="C915" s="137"/>
      <c r="D915" s="137"/>
    </row>
    <row r="916">
      <c r="C916" s="137"/>
      <c r="D916" s="137"/>
    </row>
    <row r="917">
      <c r="C917" s="137"/>
      <c r="D917" s="137"/>
    </row>
    <row r="918">
      <c r="C918" s="137"/>
      <c r="D918" s="137"/>
    </row>
    <row r="919">
      <c r="C919" s="137"/>
      <c r="D919" s="137"/>
    </row>
    <row r="920">
      <c r="C920" s="137"/>
      <c r="D920" s="137"/>
    </row>
    <row r="921">
      <c r="C921" s="137"/>
      <c r="D921" s="137"/>
    </row>
    <row r="922">
      <c r="C922" s="137"/>
      <c r="D922" s="137"/>
    </row>
    <row r="923">
      <c r="C923" s="137"/>
      <c r="D923" s="137"/>
    </row>
    <row r="924">
      <c r="C924" s="137"/>
      <c r="D924" s="137"/>
    </row>
    <row r="925">
      <c r="C925" s="137"/>
      <c r="D925" s="137"/>
    </row>
    <row r="926">
      <c r="C926" s="137"/>
      <c r="D926" s="137"/>
    </row>
    <row r="927">
      <c r="C927" s="137"/>
      <c r="D927" s="137"/>
    </row>
    <row r="928">
      <c r="C928" s="137"/>
      <c r="D928" s="137"/>
    </row>
    <row r="929">
      <c r="C929" s="137"/>
      <c r="D929" s="137"/>
    </row>
    <row r="930">
      <c r="C930" s="137"/>
      <c r="D930" s="137"/>
    </row>
    <row r="931">
      <c r="C931" s="137"/>
      <c r="D931" s="137"/>
    </row>
    <row r="932">
      <c r="C932" s="137"/>
      <c r="D932" s="137"/>
    </row>
    <row r="933">
      <c r="C933" s="137"/>
      <c r="D933" s="137"/>
    </row>
    <row r="934">
      <c r="C934" s="137"/>
      <c r="D934" s="137"/>
    </row>
    <row r="935">
      <c r="C935" s="137"/>
      <c r="D935" s="137"/>
    </row>
    <row r="936">
      <c r="C936" s="137"/>
      <c r="D936" s="137"/>
    </row>
    <row r="937">
      <c r="C937" s="137"/>
      <c r="D937" s="137"/>
    </row>
    <row r="938">
      <c r="C938" s="137"/>
      <c r="D938" s="137"/>
    </row>
    <row r="939">
      <c r="C939" s="137"/>
      <c r="D939" s="137"/>
    </row>
    <row r="940">
      <c r="C940" s="137"/>
      <c r="D940" s="137"/>
    </row>
    <row r="941">
      <c r="C941" s="137"/>
      <c r="D941" s="137"/>
    </row>
    <row r="942">
      <c r="C942" s="137"/>
      <c r="D942" s="137"/>
    </row>
    <row r="943">
      <c r="C943" s="137"/>
      <c r="D943" s="137"/>
    </row>
    <row r="944">
      <c r="C944" s="137"/>
      <c r="D944" s="137"/>
    </row>
    <row r="945">
      <c r="C945" s="137"/>
      <c r="D945" s="137"/>
    </row>
    <row r="946">
      <c r="C946" s="137"/>
      <c r="D946" s="137"/>
    </row>
    <row r="947">
      <c r="C947" s="137"/>
      <c r="D947" s="137"/>
    </row>
    <row r="948">
      <c r="C948" s="137"/>
      <c r="D948" s="137"/>
    </row>
    <row r="949">
      <c r="C949" s="137"/>
      <c r="D949" s="137"/>
    </row>
    <row r="950">
      <c r="C950" s="137"/>
      <c r="D950" s="137"/>
    </row>
    <row r="951">
      <c r="C951" s="137"/>
      <c r="D951" s="137"/>
    </row>
    <row r="952">
      <c r="C952" s="137"/>
      <c r="D952" s="137"/>
    </row>
    <row r="953">
      <c r="C953" s="137"/>
      <c r="D953" s="137"/>
    </row>
    <row r="954">
      <c r="C954" s="137"/>
      <c r="D954" s="137"/>
    </row>
    <row r="955">
      <c r="C955" s="137"/>
      <c r="D955" s="137"/>
    </row>
    <row r="956">
      <c r="C956" s="137"/>
      <c r="D956" s="137"/>
    </row>
    <row r="957">
      <c r="C957" s="137"/>
      <c r="D957" s="137"/>
    </row>
    <row r="958">
      <c r="C958" s="137"/>
      <c r="D958" s="137"/>
    </row>
    <row r="959">
      <c r="C959" s="137"/>
      <c r="D959" s="137"/>
    </row>
    <row r="960">
      <c r="C960" s="137"/>
      <c r="D960" s="137"/>
    </row>
    <row r="961">
      <c r="C961" s="137"/>
      <c r="D961" s="137"/>
    </row>
    <row r="962">
      <c r="C962" s="137"/>
      <c r="D962" s="137"/>
    </row>
    <row r="963">
      <c r="C963" s="137"/>
      <c r="D963" s="13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3.88"/>
    <col customWidth="1" min="3" max="3" width="13.0"/>
    <col customWidth="1" min="4" max="4" width="15.25"/>
    <col customWidth="1" min="5" max="5" width="8.63"/>
    <col customWidth="1" min="6" max="6" width="27.88"/>
    <col customWidth="1" min="7" max="7" width="13.38"/>
  </cols>
  <sheetData>
    <row r="1">
      <c r="A1" s="138" t="s">
        <v>2</v>
      </c>
      <c r="B1" s="139" t="s">
        <v>615</v>
      </c>
      <c r="C1" s="139" t="s">
        <v>616</v>
      </c>
      <c r="D1" s="139" t="s">
        <v>617</v>
      </c>
      <c r="E1" s="138" t="s">
        <v>3</v>
      </c>
      <c r="F1" s="138" t="s">
        <v>4</v>
      </c>
      <c r="G1" s="138" t="s">
        <v>5</v>
      </c>
    </row>
    <row r="2">
      <c r="A2" s="134">
        <v>1.0</v>
      </c>
      <c r="B2" s="140" t="s">
        <v>18</v>
      </c>
      <c r="C2" s="140">
        <v>101.0</v>
      </c>
      <c r="D2" s="141"/>
      <c r="E2" s="141" t="s">
        <v>19</v>
      </c>
      <c r="F2" s="135" t="s">
        <v>20</v>
      </c>
      <c r="G2" s="134">
        <v>18000.0</v>
      </c>
    </row>
    <row r="3">
      <c r="A3" s="134">
        <v>2.0</v>
      </c>
      <c r="B3" s="140" t="s">
        <v>304</v>
      </c>
      <c r="C3" s="140">
        <v>205.0</v>
      </c>
      <c r="D3" s="141"/>
      <c r="E3" s="141" t="s">
        <v>21</v>
      </c>
      <c r="F3" s="134" t="s">
        <v>22</v>
      </c>
      <c r="G3" s="134">
        <v>18000.0</v>
      </c>
    </row>
    <row r="4">
      <c r="A4" s="134">
        <v>3.0</v>
      </c>
      <c r="B4" s="141"/>
      <c r="C4" s="141"/>
      <c r="D4" s="141"/>
      <c r="E4" s="141" t="s">
        <v>23</v>
      </c>
      <c r="F4" s="135" t="s">
        <v>24</v>
      </c>
      <c r="G4" s="134">
        <v>18000.0</v>
      </c>
    </row>
    <row r="5">
      <c r="A5" s="134">
        <v>4.0</v>
      </c>
      <c r="B5" s="141"/>
      <c r="C5" s="141"/>
      <c r="D5" s="141"/>
      <c r="E5" s="141" t="s">
        <v>25</v>
      </c>
      <c r="F5" s="134" t="s">
        <v>26</v>
      </c>
      <c r="G5" s="134">
        <v>18000.0</v>
      </c>
    </row>
    <row r="6">
      <c r="A6" s="134">
        <v>5.0</v>
      </c>
      <c r="B6" s="141"/>
      <c r="C6" s="141"/>
      <c r="D6" s="141"/>
      <c r="E6" s="141" t="s">
        <v>27</v>
      </c>
      <c r="F6" s="134" t="s">
        <v>28</v>
      </c>
      <c r="G6" s="134">
        <v>18000.0</v>
      </c>
    </row>
    <row r="7">
      <c r="A7" s="134">
        <v>6.0</v>
      </c>
      <c r="B7" s="141"/>
      <c r="C7" s="141"/>
      <c r="D7" s="141"/>
      <c r="E7" s="141" t="s">
        <v>29</v>
      </c>
      <c r="F7" s="134" t="s">
        <v>30</v>
      </c>
      <c r="G7" s="134">
        <v>18000.0</v>
      </c>
    </row>
    <row r="8">
      <c r="A8" s="134">
        <v>7.0</v>
      </c>
      <c r="B8" s="141"/>
      <c r="C8" s="141"/>
      <c r="D8" s="141"/>
      <c r="E8" s="141" t="s">
        <v>31</v>
      </c>
      <c r="F8" s="134" t="s">
        <v>32</v>
      </c>
      <c r="G8" s="134">
        <v>18000.0</v>
      </c>
    </row>
    <row r="9">
      <c r="A9" s="134">
        <v>8.0</v>
      </c>
      <c r="B9" s="141"/>
      <c r="C9" s="141"/>
      <c r="D9" s="141"/>
      <c r="E9" s="141" t="s">
        <v>33</v>
      </c>
      <c r="F9" s="134" t="s">
        <v>34</v>
      </c>
      <c r="G9" s="134">
        <v>18000.0</v>
      </c>
    </row>
    <row r="10">
      <c r="A10" s="134">
        <v>9.0</v>
      </c>
      <c r="B10" s="141"/>
      <c r="C10" s="141"/>
      <c r="D10" s="141"/>
      <c r="E10" s="141" t="s">
        <v>35</v>
      </c>
      <c r="F10" s="134" t="s">
        <v>36</v>
      </c>
      <c r="G10" s="134">
        <v>18000.0</v>
      </c>
    </row>
    <row r="11">
      <c r="A11" s="134">
        <v>10.0</v>
      </c>
      <c r="B11" s="141"/>
      <c r="C11" s="141"/>
      <c r="D11" s="141"/>
      <c r="E11" s="141" t="s">
        <v>37</v>
      </c>
      <c r="F11" s="134" t="s">
        <v>38</v>
      </c>
      <c r="G11" s="134">
        <v>18000.0</v>
      </c>
    </row>
    <row r="12">
      <c r="A12" s="134">
        <v>11.0</v>
      </c>
      <c r="B12" s="141"/>
      <c r="C12" s="141"/>
      <c r="D12" s="141"/>
      <c r="E12" s="141" t="s">
        <v>39</v>
      </c>
      <c r="F12" s="135" t="s">
        <v>40</v>
      </c>
      <c r="G12" s="134">
        <v>18000.0</v>
      </c>
    </row>
    <row r="13">
      <c r="A13" s="134">
        <v>12.0</v>
      </c>
      <c r="B13" s="141"/>
      <c r="C13" s="141"/>
      <c r="D13" s="141"/>
      <c r="E13" s="141" t="s">
        <v>41</v>
      </c>
      <c r="F13" s="134" t="s">
        <v>42</v>
      </c>
      <c r="G13" s="134">
        <v>18000.0</v>
      </c>
    </row>
    <row r="14">
      <c r="A14" s="134">
        <v>13.0</v>
      </c>
      <c r="B14" s="141"/>
      <c r="C14" s="141"/>
      <c r="D14" s="141"/>
      <c r="E14" s="141" t="s">
        <v>43</v>
      </c>
      <c r="F14" s="135" t="s">
        <v>44</v>
      </c>
      <c r="G14" s="134">
        <v>18000.0</v>
      </c>
    </row>
    <row r="15">
      <c r="A15" s="134">
        <v>14.0</v>
      </c>
      <c r="B15" s="141"/>
      <c r="C15" s="141"/>
      <c r="D15" s="141"/>
      <c r="E15" s="141" t="s">
        <v>45</v>
      </c>
      <c r="F15" s="135" t="s">
        <v>46</v>
      </c>
      <c r="G15" s="134"/>
      <c r="I15" s="142">
        <v>18000.0</v>
      </c>
      <c r="J15" s="142" t="s">
        <v>618</v>
      </c>
    </row>
    <row r="16">
      <c r="A16" s="134">
        <v>15.0</v>
      </c>
      <c r="B16" s="141"/>
      <c r="C16" s="141"/>
      <c r="D16" s="141"/>
      <c r="E16" s="141" t="s">
        <v>47</v>
      </c>
      <c r="F16" s="134" t="s">
        <v>48</v>
      </c>
      <c r="G16" s="134">
        <v>18000.0</v>
      </c>
    </row>
    <row r="17">
      <c r="A17" s="134">
        <v>16.0</v>
      </c>
      <c r="B17" s="141"/>
      <c r="C17" s="141"/>
      <c r="D17" s="141"/>
      <c r="E17" s="141" t="s">
        <v>49</v>
      </c>
      <c r="F17" s="134" t="s">
        <v>50</v>
      </c>
      <c r="G17" s="134">
        <v>18000.0</v>
      </c>
    </row>
    <row r="18">
      <c r="A18" s="134">
        <v>17.0</v>
      </c>
      <c r="B18" s="141"/>
      <c r="C18" s="141"/>
      <c r="D18" s="141"/>
      <c r="E18" s="141" t="s">
        <v>51</v>
      </c>
      <c r="F18" s="135" t="s">
        <v>52</v>
      </c>
      <c r="G18" s="135"/>
    </row>
    <row r="19">
      <c r="A19" s="134">
        <v>18.0</v>
      </c>
      <c r="B19" s="141"/>
      <c r="C19" s="141"/>
      <c r="D19" s="141"/>
      <c r="E19" s="141" t="s">
        <v>53</v>
      </c>
      <c r="F19" s="134" t="s">
        <v>54</v>
      </c>
      <c r="G19" s="134">
        <v>18000.0</v>
      </c>
    </row>
    <row r="20">
      <c r="A20" s="134">
        <v>19.0</v>
      </c>
      <c r="B20" s="141"/>
      <c r="C20" s="141"/>
      <c r="D20" s="141"/>
      <c r="E20" s="141" t="s">
        <v>55</v>
      </c>
      <c r="F20" s="135" t="s">
        <v>612</v>
      </c>
      <c r="G20" s="134">
        <v>18000.0</v>
      </c>
    </row>
    <row r="21">
      <c r="A21" s="134">
        <v>20.0</v>
      </c>
      <c r="B21" s="141"/>
      <c r="C21" s="141"/>
      <c r="D21" s="141"/>
      <c r="E21" s="141" t="s">
        <v>57</v>
      </c>
      <c r="F21" s="135" t="s">
        <v>58</v>
      </c>
      <c r="G21" s="134">
        <v>18000.0</v>
      </c>
    </row>
    <row r="22">
      <c r="A22" s="134">
        <v>21.0</v>
      </c>
      <c r="B22" s="141"/>
      <c r="C22" s="141"/>
      <c r="D22" s="141"/>
      <c r="E22" s="141" t="s">
        <v>59</v>
      </c>
      <c r="F22" s="134" t="s">
        <v>60</v>
      </c>
      <c r="G22" s="134">
        <v>18000.0</v>
      </c>
    </row>
    <row r="23">
      <c r="A23" s="134">
        <v>22.0</v>
      </c>
      <c r="B23" s="141"/>
      <c r="C23" s="141"/>
      <c r="D23" s="141"/>
      <c r="E23" s="141" t="s">
        <v>61</v>
      </c>
      <c r="F23" s="134" t="s">
        <v>62</v>
      </c>
      <c r="G23" s="134">
        <v>18000.0</v>
      </c>
    </row>
    <row r="24">
      <c r="A24" s="134">
        <v>23.0</v>
      </c>
      <c r="B24" s="141"/>
      <c r="C24" s="141"/>
      <c r="D24" s="141"/>
      <c r="E24" s="141" t="s">
        <v>63</v>
      </c>
      <c r="F24" s="135" t="s">
        <v>64</v>
      </c>
      <c r="G24" s="135"/>
    </row>
    <row r="25">
      <c r="A25" s="134">
        <v>24.0</v>
      </c>
      <c r="B25" s="141"/>
      <c r="C25" s="141"/>
      <c r="D25" s="141"/>
      <c r="E25" s="141" t="s">
        <v>65</v>
      </c>
      <c r="F25" s="134" t="s">
        <v>66</v>
      </c>
      <c r="G25" s="134">
        <v>18000.0</v>
      </c>
    </row>
    <row r="26">
      <c r="A26" s="134">
        <v>25.0</v>
      </c>
      <c r="B26" s="141"/>
      <c r="C26" s="141"/>
      <c r="D26" s="141"/>
      <c r="E26" s="141" t="s">
        <v>67</v>
      </c>
      <c r="F26" s="134" t="s">
        <v>68</v>
      </c>
      <c r="G26" s="134">
        <v>18000.0</v>
      </c>
    </row>
    <row r="27">
      <c r="A27" s="134">
        <v>26.0</v>
      </c>
      <c r="B27" s="141"/>
      <c r="C27" s="141"/>
      <c r="D27" s="141"/>
      <c r="E27" s="141" t="s">
        <v>69</v>
      </c>
      <c r="F27" s="134" t="s">
        <v>70</v>
      </c>
      <c r="G27" s="134">
        <v>18000.0</v>
      </c>
    </row>
    <row r="28">
      <c r="A28" s="134">
        <v>27.0</v>
      </c>
      <c r="B28" s="141"/>
      <c r="C28" s="141"/>
      <c r="D28" s="141"/>
      <c r="E28" s="141" t="s">
        <v>71</v>
      </c>
      <c r="F28" s="134" t="s">
        <v>72</v>
      </c>
      <c r="G28" s="134">
        <v>18000.0</v>
      </c>
    </row>
    <row r="29">
      <c r="A29" s="134">
        <v>28.0</v>
      </c>
      <c r="B29" s="141"/>
      <c r="C29" s="141"/>
      <c r="D29" s="141"/>
      <c r="E29" s="141" t="s">
        <v>73</v>
      </c>
      <c r="F29" s="134" t="s">
        <v>74</v>
      </c>
      <c r="G29" s="134">
        <v>18000.0</v>
      </c>
    </row>
    <row r="30">
      <c r="A30" s="134">
        <v>29.0</v>
      </c>
      <c r="B30" s="141"/>
      <c r="C30" s="141"/>
      <c r="D30" s="141"/>
      <c r="E30" s="141" t="s">
        <v>75</v>
      </c>
      <c r="F30" s="134" t="s">
        <v>76</v>
      </c>
      <c r="G30" s="134">
        <v>18000.0</v>
      </c>
    </row>
    <row r="31">
      <c r="A31" s="134">
        <v>30.0</v>
      </c>
      <c r="B31" s="141"/>
      <c r="C31" s="141"/>
      <c r="D31" s="141"/>
      <c r="E31" s="141" t="s">
        <v>77</v>
      </c>
      <c r="F31" s="134" t="s">
        <v>78</v>
      </c>
      <c r="G31" s="134">
        <v>18000.0</v>
      </c>
    </row>
    <row r="32">
      <c r="A32" s="134">
        <v>31.0</v>
      </c>
      <c r="B32" s="141"/>
      <c r="C32" s="141"/>
      <c r="D32" s="141"/>
      <c r="E32" s="141" t="s">
        <v>79</v>
      </c>
      <c r="F32" s="134" t="s">
        <v>613</v>
      </c>
      <c r="G32" s="134">
        <v>18000.0</v>
      </c>
    </row>
    <row r="33">
      <c r="A33" s="134">
        <v>32.0</v>
      </c>
      <c r="B33" s="141"/>
      <c r="C33" s="141"/>
      <c r="D33" s="141"/>
      <c r="E33" s="141" t="s">
        <v>81</v>
      </c>
      <c r="F33" s="134" t="s">
        <v>82</v>
      </c>
      <c r="G33" s="134">
        <v>18000.0</v>
      </c>
    </row>
    <row r="34">
      <c r="A34" s="134">
        <v>33.0</v>
      </c>
      <c r="B34" s="141"/>
      <c r="C34" s="141"/>
      <c r="D34" s="141"/>
      <c r="E34" s="141" t="s">
        <v>83</v>
      </c>
      <c r="F34" s="135" t="s">
        <v>84</v>
      </c>
      <c r="G34" s="134">
        <v>18000.0</v>
      </c>
    </row>
    <row r="35">
      <c r="A35" s="134">
        <v>34.0</v>
      </c>
      <c r="B35" s="141"/>
      <c r="C35" s="141"/>
      <c r="D35" s="141"/>
      <c r="E35" s="141" t="s">
        <v>85</v>
      </c>
      <c r="F35" s="134" t="s">
        <v>86</v>
      </c>
      <c r="G35" s="134">
        <v>18000.0</v>
      </c>
    </row>
    <row r="36">
      <c r="A36" s="134">
        <v>35.0</v>
      </c>
      <c r="B36" s="141"/>
      <c r="C36" s="141"/>
      <c r="D36" s="141"/>
      <c r="E36" s="141" t="s">
        <v>87</v>
      </c>
      <c r="F36" s="134" t="s">
        <v>88</v>
      </c>
      <c r="G36" s="134">
        <v>36000.0</v>
      </c>
    </row>
    <row r="37">
      <c r="A37" s="134">
        <v>36.0</v>
      </c>
      <c r="B37" s="141"/>
      <c r="C37" s="141"/>
      <c r="D37" s="141"/>
      <c r="E37" s="141" t="s">
        <v>89</v>
      </c>
      <c r="F37" s="134" t="s">
        <v>90</v>
      </c>
      <c r="G37" s="134">
        <v>18000.0</v>
      </c>
    </row>
    <row r="38">
      <c r="A38" s="134">
        <v>37.0</v>
      </c>
      <c r="B38" s="141"/>
      <c r="C38" s="141"/>
      <c r="D38" s="141"/>
      <c r="E38" s="141" t="s">
        <v>91</v>
      </c>
      <c r="F38" s="134" t="s">
        <v>92</v>
      </c>
      <c r="G38" s="134">
        <v>18000.0</v>
      </c>
    </row>
    <row r="39">
      <c r="A39" s="134">
        <v>38.0</v>
      </c>
      <c r="B39" s="141"/>
      <c r="C39" s="141"/>
      <c r="D39" s="141"/>
      <c r="E39" s="141" t="s">
        <v>93</v>
      </c>
      <c r="F39" s="134" t="s">
        <v>94</v>
      </c>
      <c r="G39" s="134">
        <v>18000.0</v>
      </c>
    </row>
    <row r="40">
      <c r="A40" s="134">
        <v>39.0</v>
      </c>
      <c r="B40" s="141"/>
      <c r="C40" s="141"/>
      <c r="D40" s="141"/>
      <c r="E40" s="141" t="s">
        <v>95</v>
      </c>
      <c r="F40" s="134" t="s">
        <v>96</v>
      </c>
      <c r="G40" s="134">
        <v>18000.0</v>
      </c>
    </row>
    <row r="41">
      <c r="A41" s="134">
        <v>40.0</v>
      </c>
      <c r="B41" s="141"/>
      <c r="C41" s="141"/>
      <c r="D41" s="141"/>
      <c r="E41" s="141" t="s">
        <v>97</v>
      </c>
      <c r="F41" s="135" t="s">
        <v>98</v>
      </c>
      <c r="G41" s="134"/>
      <c r="H41" s="142"/>
      <c r="I41" s="142"/>
    </row>
    <row r="42">
      <c r="A42" s="134">
        <v>41.0</v>
      </c>
      <c r="B42" s="141"/>
      <c r="C42" s="141"/>
      <c r="D42" s="141"/>
      <c r="E42" s="141" t="s">
        <v>99</v>
      </c>
      <c r="F42" s="134" t="s">
        <v>100</v>
      </c>
      <c r="G42" s="134">
        <v>18000.0</v>
      </c>
    </row>
    <row r="43">
      <c r="A43" s="134">
        <v>42.0</v>
      </c>
      <c r="B43" s="141"/>
      <c r="C43" s="141"/>
      <c r="D43" s="141"/>
      <c r="E43" s="141" t="s">
        <v>101</v>
      </c>
      <c r="F43" s="134" t="s">
        <v>102</v>
      </c>
      <c r="G43" s="134">
        <v>18000.0</v>
      </c>
    </row>
    <row r="44">
      <c r="A44" s="134">
        <v>43.0</v>
      </c>
      <c r="B44" s="141"/>
      <c r="C44" s="141"/>
      <c r="D44" s="141"/>
      <c r="E44" s="141" t="s">
        <v>103</v>
      </c>
      <c r="F44" s="143" t="s">
        <v>104</v>
      </c>
      <c r="G44" s="134">
        <v>18000.0</v>
      </c>
    </row>
    <row r="45">
      <c r="A45" s="134">
        <v>44.0</v>
      </c>
      <c r="B45" s="141"/>
      <c r="C45" s="141"/>
      <c r="D45" s="141"/>
      <c r="E45" s="141" t="s">
        <v>105</v>
      </c>
      <c r="F45" s="143" t="s">
        <v>106</v>
      </c>
      <c r="G45" s="134">
        <v>18000.0</v>
      </c>
    </row>
    <row r="46">
      <c r="A46" s="134">
        <v>45.0</v>
      </c>
      <c r="B46" s="144"/>
      <c r="C46" s="144"/>
      <c r="D46" s="144"/>
      <c r="E46" s="144" t="s">
        <v>108</v>
      </c>
      <c r="F46" s="134" t="s">
        <v>109</v>
      </c>
      <c r="G46" s="134">
        <v>36000.0</v>
      </c>
    </row>
    <row r="47">
      <c r="A47" s="134">
        <v>46.0</v>
      </c>
      <c r="B47" s="141"/>
      <c r="C47" s="141"/>
      <c r="D47" s="141"/>
      <c r="E47" s="141" t="s">
        <v>110</v>
      </c>
      <c r="F47" s="134" t="s">
        <v>111</v>
      </c>
      <c r="G47" s="134">
        <v>18000.0</v>
      </c>
    </row>
    <row r="48">
      <c r="A48" s="134">
        <v>47.0</v>
      </c>
      <c r="B48" s="144"/>
      <c r="C48" s="144"/>
      <c r="D48" s="144"/>
      <c r="E48" s="144" t="s">
        <v>112</v>
      </c>
      <c r="F48" s="134" t="s">
        <v>113</v>
      </c>
      <c r="G48" s="134">
        <v>18000.0</v>
      </c>
    </row>
    <row r="49">
      <c r="A49" s="134">
        <v>48.0</v>
      </c>
      <c r="B49" s="141"/>
      <c r="C49" s="141"/>
      <c r="D49" s="141"/>
      <c r="E49" s="141" t="s">
        <v>114</v>
      </c>
      <c r="F49" s="135" t="s">
        <v>115</v>
      </c>
      <c r="G49" s="134">
        <v>18000.0</v>
      </c>
    </row>
    <row r="50">
      <c r="A50" s="134">
        <v>49.0</v>
      </c>
      <c r="B50" s="134"/>
      <c r="C50" s="134"/>
      <c r="D50" s="134"/>
      <c r="E50" s="134" t="s">
        <v>117</v>
      </c>
      <c r="F50" s="134" t="s">
        <v>619</v>
      </c>
      <c r="G50" s="145">
        <v>36000.0</v>
      </c>
      <c r="H50" s="142">
        <v>100000.0</v>
      </c>
      <c r="I50" s="142"/>
    </row>
    <row r="51">
      <c r="A51" s="134">
        <v>50.0</v>
      </c>
      <c r="B51" s="146"/>
      <c r="C51" s="146"/>
      <c r="D51" s="146"/>
      <c r="E51" s="146" t="s">
        <v>119</v>
      </c>
      <c r="F51" s="147" t="s">
        <v>120</v>
      </c>
      <c r="G51" s="145">
        <v>36000.0</v>
      </c>
      <c r="H51" s="142">
        <v>100000.0</v>
      </c>
    </row>
    <row r="52">
      <c r="A52" s="134">
        <v>51.0</v>
      </c>
      <c r="B52" s="134"/>
      <c r="C52" s="134"/>
      <c r="D52" s="134"/>
      <c r="E52" s="134" t="s">
        <v>123</v>
      </c>
      <c r="F52" s="135"/>
      <c r="G52" s="135"/>
    </row>
    <row r="53">
      <c r="A53" s="134">
        <v>52.0</v>
      </c>
      <c r="B53" s="144"/>
      <c r="C53" s="144"/>
      <c r="D53" s="144"/>
      <c r="E53" s="144" t="s">
        <v>124</v>
      </c>
      <c r="F53" s="134" t="s">
        <v>125</v>
      </c>
      <c r="G53" s="134">
        <v>15000.0</v>
      </c>
    </row>
    <row r="54">
      <c r="A54" s="134">
        <v>53.0</v>
      </c>
      <c r="B54" s="141"/>
      <c r="C54" s="141"/>
      <c r="D54" s="141"/>
      <c r="E54" s="141" t="s">
        <v>126</v>
      </c>
      <c r="F54" s="135" t="s">
        <v>127</v>
      </c>
      <c r="G54" s="135"/>
    </row>
    <row r="55">
      <c r="A55" s="134">
        <v>54.0</v>
      </c>
      <c r="B55" s="134"/>
      <c r="C55" s="134"/>
      <c r="D55" s="134"/>
      <c r="E55" s="134" t="s">
        <v>128</v>
      </c>
      <c r="F55" s="135"/>
      <c r="G55" s="135"/>
    </row>
    <row r="56">
      <c r="A56" s="134">
        <v>55.0</v>
      </c>
      <c r="B56" s="141"/>
      <c r="C56" s="141"/>
      <c r="D56" s="141"/>
      <c r="E56" s="141" t="s">
        <v>129</v>
      </c>
      <c r="F56" s="134" t="s">
        <v>130</v>
      </c>
      <c r="G56" s="134">
        <v>15000.0</v>
      </c>
    </row>
    <row r="57">
      <c r="A57" s="134">
        <v>56.0</v>
      </c>
      <c r="B57" s="141"/>
      <c r="C57" s="141"/>
      <c r="D57" s="141"/>
      <c r="E57" s="141" t="s">
        <v>131</v>
      </c>
      <c r="F57" s="134" t="s">
        <v>132</v>
      </c>
      <c r="G57" s="134">
        <v>15000.0</v>
      </c>
    </row>
    <row r="58">
      <c r="A58" s="134">
        <v>57.0</v>
      </c>
      <c r="B58" s="141"/>
      <c r="C58" s="141"/>
      <c r="D58" s="141"/>
      <c r="E58" s="141" t="s">
        <v>133</v>
      </c>
      <c r="F58" s="134" t="s">
        <v>134</v>
      </c>
      <c r="G58" s="134">
        <v>30000.0</v>
      </c>
    </row>
    <row r="59">
      <c r="A59" s="134">
        <v>58.0</v>
      </c>
      <c r="B59" s="141"/>
      <c r="C59" s="141"/>
      <c r="D59" s="141"/>
      <c r="E59" s="141" t="s">
        <v>135</v>
      </c>
      <c r="F59" s="134" t="s">
        <v>136</v>
      </c>
      <c r="G59" s="134">
        <v>15000.0</v>
      </c>
    </row>
    <row r="60">
      <c r="A60" s="134">
        <v>59.0</v>
      </c>
      <c r="B60" s="141"/>
      <c r="C60" s="141"/>
      <c r="D60" s="141"/>
      <c r="E60" s="141" t="s">
        <v>137</v>
      </c>
      <c r="F60" s="134" t="s">
        <v>138</v>
      </c>
      <c r="G60" s="134">
        <v>15000.0</v>
      </c>
    </row>
    <row r="61">
      <c r="A61" s="134">
        <v>60.0</v>
      </c>
      <c r="B61" s="141"/>
      <c r="C61" s="141"/>
      <c r="D61" s="141"/>
      <c r="E61" s="141" t="s">
        <v>139</v>
      </c>
      <c r="F61" s="134" t="s">
        <v>140</v>
      </c>
      <c r="G61" s="134">
        <v>15000.0</v>
      </c>
    </row>
    <row r="62">
      <c r="A62" s="134">
        <v>61.0</v>
      </c>
      <c r="B62" s="141"/>
      <c r="C62" s="141"/>
      <c r="D62" s="141"/>
      <c r="E62" s="141" t="s">
        <v>141</v>
      </c>
      <c r="F62" s="134" t="s">
        <v>142</v>
      </c>
      <c r="G62" s="134">
        <v>15000.0</v>
      </c>
    </row>
    <row r="63">
      <c r="A63" s="134">
        <v>62.0</v>
      </c>
      <c r="B63" s="141"/>
      <c r="C63" s="141"/>
      <c r="D63" s="141"/>
      <c r="E63" s="141" t="s">
        <v>143</v>
      </c>
      <c r="F63" s="135" t="s">
        <v>144</v>
      </c>
      <c r="G63" s="135"/>
    </row>
    <row r="64">
      <c r="A64" s="134">
        <v>63.0</v>
      </c>
      <c r="B64" s="134"/>
      <c r="C64" s="134"/>
      <c r="D64" s="134"/>
      <c r="E64" s="134" t="s">
        <v>145</v>
      </c>
      <c r="F64" s="135"/>
      <c r="G64" s="135"/>
    </row>
    <row r="65">
      <c r="A65" s="134">
        <v>64.0</v>
      </c>
      <c r="B65" s="141"/>
      <c r="C65" s="141"/>
      <c r="D65" s="141"/>
      <c r="E65" s="141" t="s">
        <v>146</v>
      </c>
      <c r="F65" s="135" t="s">
        <v>147</v>
      </c>
      <c r="G65" s="134">
        <v>15000.0</v>
      </c>
    </row>
    <row r="66">
      <c r="A66" s="134">
        <v>65.0</v>
      </c>
      <c r="B66" s="141"/>
      <c r="C66" s="141"/>
      <c r="D66" s="141"/>
      <c r="E66" s="141" t="s">
        <v>148</v>
      </c>
      <c r="F66" s="134" t="s">
        <v>149</v>
      </c>
      <c r="G66" s="134">
        <v>15000.0</v>
      </c>
    </row>
    <row r="67">
      <c r="A67" s="134">
        <v>66.0</v>
      </c>
      <c r="B67" s="141"/>
      <c r="C67" s="141"/>
      <c r="D67" s="141"/>
      <c r="E67" s="141" t="s">
        <v>150</v>
      </c>
      <c r="F67" s="135" t="s">
        <v>151</v>
      </c>
      <c r="G67" s="134">
        <v>30000.0</v>
      </c>
    </row>
    <row r="68">
      <c r="A68" s="134">
        <v>67.0</v>
      </c>
      <c r="B68" s="141"/>
      <c r="C68" s="141"/>
      <c r="D68" s="141"/>
      <c r="E68" s="141" t="s">
        <v>152</v>
      </c>
      <c r="F68" s="134" t="s">
        <v>153</v>
      </c>
      <c r="G68" s="134">
        <v>15000.0</v>
      </c>
    </row>
    <row r="69">
      <c r="A69" s="134">
        <v>68.0</v>
      </c>
      <c r="B69" s="141"/>
      <c r="C69" s="141"/>
      <c r="D69" s="141"/>
      <c r="E69" s="141" t="s">
        <v>154</v>
      </c>
      <c r="F69" s="134" t="s">
        <v>155</v>
      </c>
      <c r="G69" s="134">
        <v>15000.0</v>
      </c>
    </row>
    <row r="70">
      <c r="A70" s="134">
        <v>69.0</v>
      </c>
      <c r="B70" s="141"/>
      <c r="C70" s="141"/>
      <c r="D70" s="141"/>
      <c r="E70" s="141" t="s">
        <v>156</v>
      </c>
      <c r="F70" s="135" t="s">
        <v>157</v>
      </c>
      <c r="G70" s="135"/>
    </row>
    <row r="71">
      <c r="A71" s="134">
        <v>70.0</v>
      </c>
      <c r="B71" s="141"/>
      <c r="C71" s="141"/>
      <c r="D71" s="141"/>
      <c r="E71" s="141" t="s">
        <v>158</v>
      </c>
      <c r="F71" s="134" t="s">
        <v>159</v>
      </c>
      <c r="G71" s="134">
        <v>15000.0</v>
      </c>
    </row>
    <row r="72">
      <c r="A72" s="134">
        <v>71.0</v>
      </c>
      <c r="B72" s="141"/>
      <c r="C72" s="141"/>
      <c r="D72" s="141"/>
      <c r="E72" s="141" t="s">
        <v>160</v>
      </c>
      <c r="F72" s="134" t="s">
        <v>161</v>
      </c>
      <c r="G72" s="134">
        <v>15000.0</v>
      </c>
    </row>
    <row r="73">
      <c r="A73" s="134">
        <v>72.0</v>
      </c>
      <c r="B73" s="141"/>
      <c r="C73" s="141"/>
      <c r="D73" s="141"/>
      <c r="E73" s="141" t="s">
        <v>162</v>
      </c>
      <c r="F73" s="148" t="s">
        <v>163</v>
      </c>
      <c r="G73" s="136">
        <v>30000.0</v>
      </c>
      <c r="H73" s="149">
        <v>30000.0</v>
      </c>
      <c r="I73" s="149"/>
    </row>
    <row r="74">
      <c r="A74" s="134">
        <v>73.0</v>
      </c>
      <c r="B74" s="141"/>
      <c r="C74" s="141"/>
      <c r="D74" s="141"/>
      <c r="E74" s="141" t="s">
        <v>164</v>
      </c>
      <c r="F74" s="135" t="s">
        <v>165</v>
      </c>
      <c r="G74" s="134">
        <v>15000.0</v>
      </c>
    </row>
    <row r="75">
      <c r="A75" s="134">
        <v>74.0</v>
      </c>
      <c r="B75" s="141"/>
      <c r="C75" s="141"/>
      <c r="D75" s="141"/>
      <c r="E75" s="141" t="s">
        <v>166</v>
      </c>
      <c r="F75" s="135" t="s">
        <v>167</v>
      </c>
      <c r="G75" s="135"/>
    </row>
    <row r="76">
      <c r="A76" s="134">
        <v>75.0</v>
      </c>
      <c r="B76" s="141"/>
      <c r="C76" s="141"/>
      <c r="D76" s="141"/>
      <c r="E76" s="141" t="s">
        <v>169</v>
      </c>
      <c r="F76" s="143" t="s">
        <v>170</v>
      </c>
      <c r="G76" s="134">
        <v>15000.0</v>
      </c>
    </row>
    <row r="77">
      <c r="A77" s="134">
        <v>76.0</v>
      </c>
      <c r="B77" s="141"/>
      <c r="C77" s="141"/>
      <c r="D77" s="141"/>
      <c r="E77" s="141" t="s">
        <v>171</v>
      </c>
      <c r="F77" s="134" t="s">
        <v>172</v>
      </c>
      <c r="G77" s="134">
        <v>15000.0</v>
      </c>
    </row>
    <row r="78">
      <c r="A78" s="134">
        <v>77.0</v>
      </c>
      <c r="B78" s="141"/>
      <c r="C78" s="141"/>
      <c r="D78" s="141"/>
      <c r="E78" s="141" t="s">
        <v>173</v>
      </c>
      <c r="F78" s="135" t="s">
        <v>174</v>
      </c>
      <c r="G78" s="134">
        <v>15000.0</v>
      </c>
    </row>
    <row r="79">
      <c r="A79" s="134">
        <v>78.0</v>
      </c>
      <c r="B79" s="141"/>
      <c r="C79" s="141"/>
      <c r="D79" s="141"/>
      <c r="E79" s="141" t="s">
        <v>175</v>
      </c>
      <c r="F79" s="135" t="s">
        <v>176</v>
      </c>
      <c r="G79" s="134">
        <v>15000.0</v>
      </c>
    </row>
    <row r="80">
      <c r="A80" s="134">
        <v>79.0</v>
      </c>
      <c r="B80" s="141"/>
      <c r="C80" s="141"/>
      <c r="D80" s="141"/>
      <c r="E80" s="141" t="s">
        <v>177</v>
      </c>
      <c r="F80" s="135" t="s">
        <v>176</v>
      </c>
      <c r="G80" s="134">
        <v>15000.0</v>
      </c>
    </row>
    <row r="81">
      <c r="A81" s="134">
        <v>80.0</v>
      </c>
      <c r="B81" s="141"/>
      <c r="C81" s="141"/>
      <c r="D81" s="141"/>
      <c r="E81" s="141" t="s">
        <v>178</v>
      </c>
      <c r="F81" s="135" t="s">
        <v>179</v>
      </c>
      <c r="G81" s="134">
        <v>15000.0</v>
      </c>
    </row>
    <row r="82">
      <c r="A82" s="134">
        <v>81.0</v>
      </c>
      <c r="B82" s="141"/>
      <c r="C82" s="141"/>
      <c r="D82" s="141"/>
      <c r="E82" s="141" t="s">
        <v>180</v>
      </c>
      <c r="F82" s="134" t="s">
        <v>181</v>
      </c>
      <c r="G82" s="134">
        <v>15000.0</v>
      </c>
    </row>
    <row r="83">
      <c r="A83" s="134">
        <v>82.0</v>
      </c>
      <c r="B83" s="141"/>
      <c r="C83" s="141"/>
      <c r="D83" s="141"/>
      <c r="E83" s="141" t="s">
        <v>182</v>
      </c>
      <c r="F83" s="134" t="s">
        <v>183</v>
      </c>
      <c r="G83" s="134">
        <v>15000.0</v>
      </c>
    </row>
    <row r="84">
      <c r="A84" s="134">
        <v>83.0</v>
      </c>
      <c r="B84" s="141"/>
      <c r="C84" s="141"/>
      <c r="D84" s="141"/>
      <c r="E84" s="141" t="s">
        <v>184</v>
      </c>
      <c r="F84" s="134" t="s">
        <v>185</v>
      </c>
      <c r="G84" s="134">
        <v>30000.0</v>
      </c>
    </row>
    <row r="85">
      <c r="A85" s="134">
        <v>84.0</v>
      </c>
      <c r="B85" s="141"/>
      <c r="C85" s="141"/>
      <c r="D85" s="141"/>
      <c r="E85" s="141" t="s">
        <v>186</v>
      </c>
      <c r="F85" s="135" t="s">
        <v>187</v>
      </c>
      <c r="G85" s="135"/>
    </row>
    <row r="86">
      <c r="A86" s="134">
        <v>85.0</v>
      </c>
      <c r="B86" s="141"/>
      <c r="C86" s="141"/>
      <c r="D86" s="141"/>
      <c r="E86" s="141" t="s">
        <v>188</v>
      </c>
      <c r="F86" s="135" t="s">
        <v>189</v>
      </c>
      <c r="G86" s="134">
        <v>15000.0</v>
      </c>
    </row>
    <row r="87">
      <c r="A87" s="134">
        <v>86.0</v>
      </c>
      <c r="B87" s="141"/>
      <c r="C87" s="141"/>
      <c r="D87" s="141"/>
      <c r="E87" s="141" t="s">
        <v>190</v>
      </c>
      <c r="F87" s="134" t="s">
        <v>191</v>
      </c>
      <c r="G87" s="134">
        <v>15000.0</v>
      </c>
    </row>
    <row r="88">
      <c r="A88" s="134">
        <v>87.0</v>
      </c>
      <c r="B88" s="141"/>
      <c r="C88" s="141"/>
      <c r="D88" s="141"/>
      <c r="E88" s="141" t="s">
        <v>192</v>
      </c>
      <c r="F88" s="134" t="s">
        <v>193</v>
      </c>
      <c r="G88" s="134">
        <v>15000.0</v>
      </c>
    </row>
    <row r="89">
      <c r="A89" s="134">
        <v>88.0</v>
      </c>
      <c r="B89" s="141"/>
      <c r="C89" s="141"/>
      <c r="D89" s="141"/>
      <c r="E89" s="141" t="s">
        <v>194</v>
      </c>
      <c r="F89" s="134" t="s">
        <v>132</v>
      </c>
      <c r="G89" s="134">
        <v>15000.0</v>
      </c>
    </row>
    <row r="90">
      <c r="A90" s="134">
        <v>89.0</v>
      </c>
      <c r="B90" s="141"/>
      <c r="C90" s="141"/>
      <c r="D90" s="141"/>
      <c r="E90" s="141" t="s">
        <v>195</v>
      </c>
      <c r="F90" s="134" t="s">
        <v>196</v>
      </c>
      <c r="G90" s="134">
        <v>15000.0</v>
      </c>
    </row>
    <row r="91">
      <c r="A91" s="134">
        <v>90.0</v>
      </c>
      <c r="B91" s="141"/>
      <c r="C91" s="141"/>
      <c r="D91" s="141"/>
      <c r="E91" s="141" t="s">
        <v>197</v>
      </c>
      <c r="F91" s="135" t="s">
        <v>198</v>
      </c>
      <c r="G91" s="134">
        <v>15000.0</v>
      </c>
    </row>
    <row r="92">
      <c r="A92" s="134">
        <v>91.0</v>
      </c>
      <c r="B92" s="141"/>
      <c r="C92" s="141"/>
      <c r="D92" s="141"/>
      <c r="E92" s="141" t="s">
        <v>199</v>
      </c>
      <c r="F92" s="134" t="s">
        <v>200</v>
      </c>
      <c r="G92" s="134">
        <v>15000.0</v>
      </c>
    </row>
    <row r="93">
      <c r="A93" s="134">
        <v>92.0</v>
      </c>
      <c r="B93" s="141"/>
      <c r="C93" s="141"/>
      <c r="D93" s="141"/>
      <c r="E93" s="141" t="s">
        <v>201</v>
      </c>
      <c r="F93" s="134" t="s">
        <v>202</v>
      </c>
      <c r="G93" s="134">
        <v>15000.0</v>
      </c>
    </row>
    <row r="94">
      <c r="A94" s="134">
        <v>93.0</v>
      </c>
      <c r="B94" s="134"/>
      <c r="C94" s="134"/>
      <c r="D94" s="134"/>
      <c r="E94" s="134" t="s">
        <v>204</v>
      </c>
      <c r="F94" s="135"/>
      <c r="G94" s="135"/>
    </row>
    <row r="95">
      <c r="A95" s="134">
        <v>94.0</v>
      </c>
      <c r="B95" s="134"/>
      <c r="C95" s="134"/>
      <c r="D95" s="134"/>
      <c r="E95" s="134" t="s">
        <v>206</v>
      </c>
      <c r="F95" s="135"/>
      <c r="G95" s="135"/>
    </row>
    <row r="96">
      <c r="A96" s="134">
        <v>95.0</v>
      </c>
      <c r="B96" s="134"/>
      <c r="C96" s="134"/>
      <c r="D96" s="134"/>
      <c r="E96" s="134" t="s">
        <v>207</v>
      </c>
      <c r="F96" s="135"/>
      <c r="G96" s="135"/>
    </row>
    <row r="97">
      <c r="A97" s="134">
        <v>96.0</v>
      </c>
      <c r="B97" s="141"/>
      <c r="C97" s="141"/>
      <c r="D97" s="141"/>
      <c r="E97" s="141" t="s">
        <v>208</v>
      </c>
      <c r="F97" s="134" t="s">
        <v>209</v>
      </c>
      <c r="G97" s="134">
        <v>15000.0</v>
      </c>
    </row>
    <row r="98">
      <c r="A98" s="134">
        <v>97.0</v>
      </c>
      <c r="B98" s="141"/>
      <c r="C98" s="141"/>
      <c r="D98" s="141"/>
      <c r="E98" s="141" t="s">
        <v>210</v>
      </c>
      <c r="F98" s="134" t="s">
        <v>211</v>
      </c>
      <c r="G98" s="134">
        <v>15000.0</v>
      </c>
    </row>
    <row r="99">
      <c r="A99" s="134">
        <v>98.0</v>
      </c>
      <c r="B99" s="141"/>
      <c r="C99" s="141"/>
      <c r="D99" s="141"/>
      <c r="E99" s="141" t="s">
        <v>212</v>
      </c>
      <c r="F99" s="134" t="s">
        <v>213</v>
      </c>
      <c r="G99" s="134">
        <v>30000.0</v>
      </c>
    </row>
    <row r="100">
      <c r="A100" s="134">
        <v>99.0</v>
      </c>
      <c r="B100" s="144"/>
      <c r="C100" s="144"/>
      <c r="D100" s="144"/>
      <c r="E100" s="144" t="s">
        <v>214</v>
      </c>
      <c r="F100" s="134" t="s">
        <v>215</v>
      </c>
      <c r="G100" s="134">
        <v>15000.0</v>
      </c>
    </row>
    <row r="101">
      <c r="A101" s="134">
        <v>100.0</v>
      </c>
      <c r="B101" s="141"/>
      <c r="C101" s="141"/>
      <c r="D101" s="141"/>
      <c r="E101" s="141" t="s">
        <v>216</v>
      </c>
      <c r="F101" s="135" t="s">
        <v>217</v>
      </c>
      <c r="G101" s="135"/>
    </row>
    <row r="102">
      <c r="A102" s="134">
        <v>101.0</v>
      </c>
      <c r="B102" s="141"/>
      <c r="C102" s="141"/>
      <c r="D102" s="141"/>
      <c r="E102" s="141" t="s">
        <v>218</v>
      </c>
      <c r="F102" s="134" t="s">
        <v>219</v>
      </c>
      <c r="G102" s="134">
        <v>30000.0</v>
      </c>
    </row>
    <row r="103">
      <c r="A103" s="134">
        <v>102.0</v>
      </c>
      <c r="B103" s="141"/>
      <c r="C103" s="141"/>
      <c r="D103" s="141"/>
      <c r="E103" s="141" t="s">
        <v>220</v>
      </c>
      <c r="F103" s="134" t="s">
        <v>221</v>
      </c>
      <c r="G103" s="134">
        <v>15000.0</v>
      </c>
    </row>
    <row r="104">
      <c r="A104" s="134">
        <v>103.0</v>
      </c>
      <c r="B104" s="141"/>
      <c r="C104" s="141"/>
      <c r="D104" s="141"/>
      <c r="E104" s="141" t="s">
        <v>222</v>
      </c>
      <c r="F104" s="134" t="s">
        <v>221</v>
      </c>
      <c r="G104" s="134">
        <v>15000.0</v>
      </c>
    </row>
    <row r="105">
      <c r="A105" s="134">
        <v>104.0</v>
      </c>
      <c r="B105" s="141"/>
      <c r="C105" s="141"/>
      <c r="D105" s="141"/>
      <c r="E105" s="141" t="s">
        <v>223</v>
      </c>
      <c r="F105" s="134" t="s">
        <v>224</v>
      </c>
      <c r="G105" s="134">
        <v>15000.0</v>
      </c>
    </row>
    <row r="106">
      <c r="A106" s="134">
        <v>105.0</v>
      </c>
      <c r="B106" s="141"/>
      <c r="C106" s="141"/>
      <c r="D106" s="141"/>
      <c r="E106" s="141" t="s">
        <v>225</v>
      </c>
      <c r="F106" s="135" t="s">
        <v>226</v>
      </c>
      <c r="G106" s="134">
        <v>15000.0</v>
      </c>
    </row>
    <row r="107">
      <c r="A107" s="134">
        <v>106.0</v>
      </c>
      <c r="B107" s="141"/>
      <c r="C107" s="141"/>
      <c r="D107" s="141"/>
      <c r="E107" s="141" t="s">
        <v>227</v>
      </c>
      <c r="F107" s="134" t="s">
        <v>228</v>
      </c>
      <c r="G107" s="134">
        <v>15000.0</v>
      </c>
    </row>
    <row r="108">
      <c r="A108" s="134">
        <v>107.0</v>
      </c>
      <c r="B108" s="141"/>
      <c r="C108" s="141"/>
      <c r="D108" s="141"/>
      <c r="E108" s="141" t="s">
        <v>229</v>
      </c>
      <c r="F108" s="134" t="s">
        <v>230</v>
      </c>
      <c r="G108" s="134">
        <v>30000.0</v>
      </c>
    </row>
    <row r="109">
      <c r="A109" s="134">
        <v>108.0</v>
      </c>
      <c r="B109" s="141"/>
      <c r="C109" s="141"/>
      <c r="D109" s="141"/>
      <c r="E109" s="141" t="s">
        <v>231</v>
      </c>
      <c r="F109" s="134" t="s">
        <v>232</v>
      </c>
      <c r="G109" s="134">
        <v>15000.0</v>
      </c>
    </row>
    <row r="110">
      <c r="A110" s="134">
        <v>109.0</v>
      </c>
      <c r="B110" s="141"/>
      <c r="C110" s="141"/>
      <c r="D110" s="141"/>
      <c r="E110" s="141" t="s">
        <v>233</v>
      </c>
      <c r="F110" s="135" t="s">
        <v>234</v>
      </c>
      <c r="G110" s="134">
        <v>15000.0</v>
      </c>
    </row>
    <row r="111">
      <c r="A111" s="134">
        <v>110.0</v>
      </c>
      <c r="B111" s="141"/>
      <c r="C111" s="141"/>
      <c r="D111" s="141"/>
      <c r="E111" s="141" t="s">
        <v>235</v>
      </c>
      <c r="F111" s="134" t="s">
        <v>90</v>
      </c>
      <c r="G111" s="134">
        <v>15000.0</v>
      </c>
    </row>
    <row r="112">
      <c r="A112" s="134">
        <v>111.0</v>
      </c>
      <c r="B112" s="141"/>
      <c r="C112" s="141"/>
      <c r="D112" s="141"/>
      <c r="E112" s="141" t="s">
        <v>237</v>
      </c>
      <c r="F112" s="134" t="s">
        <v>238</v>
      </c>
      <c r="G112" s="134">
        <v>15000.0</v>
      </c>
    </row>
    <row r="113">
      <c r="A113" s="134">
        <v>112.0</v>
      </c>
      <c r="B113" s="141"/>
      <c r="C113" s="141"/>
      <c r="D113" s="141"/>
      <c r="E113" s="141" t="s">
        <v>239</v>
      </c>
      <c r="F113" s="134" t="s">
        <v>240</v>
      </c>
      <c r="G113" s="134">
        <v>15000.0</v>
      </c>
    </row>
    <row r="114">
      <c r="A114" s="134">
        <v>113.0</v>
      </c>
      <c r="B114" s="141"/>
      <c r="C114" s="141"/>
      <c r="D114" s="141"/>
      <c r="E114" s="141" t="s">
        <v>241</v>
      </c>
      <c r="F114" s="134" t="s">
        <v>242</v>
      </c>
      <c r="G114" s="134">
        <v>15000.0</v>
      </c>
    </row>
    <row r="115">
      <c r="A115" s="134">
        <v>114.0</v>
      </c>
      <c r="B115" s="141"/>
      <c r="C115" s="141"/>
      <c r="D115" s="141"/>
      <c r="E115" s="141" t="s">
        <v>243</v>
      </c>
      <c r="F115" s="134" t="s">
        <v>244</v>
      </c>
      <c r="G115" s="134">
        <v>15000.0</v>
      </c>
    </row>
    <row r="116">
      <c r="A116" s="134">
        <v>115.0</v>
      </c>
      <c r="B116" s="134"/>
      <c r="C116" s="134"/>
      <c r="D116" s="134"/>
      <c r="E116" s="134" t="s">
        <v>245</v>
      </c>
      <c r="F116" s="135"/>
      <c r="G116" s="135"/>
    </row>
    <row r="117">
      <c r="A117" s="134">
        <v>116.0</v>
      </c>
      <c r="B117" s="141"/>
      <c r="C117" s="141"/>
      <c r="D117" s="141"/>
      <c r="E117" s="141" t="s">
        <v>246</v>
      </c>
      <c r="F117" s="134" t="s">
        <v>247</v>
      </c>
      <c r="G117" s="134">
        <v>15000.0</v>
      </c>
    </row>
    <row r="118">
      <c r="A118" s="134">
        <v>117.0</v>
      </c>
      <c r="B118" s="141"/>
      <c r="C118" s="141"/>
      <c r="D118" s="141"/>
      <c r="E118" s="141" t="s">
        <v>248</v>
      </c>
      <c r="F118" s="136" t="s">
        <v>249</v>
      </c>
      <c r="G118" s="135"/>
    </row>
    <row r="119">
      <c r="A119" s="134">
        <v>118.0</v>
      </c>
      <c r="B119" s="134"/>
      <c r="C119" s="134"/>
      <c r="D119" s="134"/>
      <c r="E119" s="134" t="s">
        <v>250</v>
      </c>
      <c r="F119" s="135"/>
      <c r="G119" s="135"/>
    </row>
    <row r="120">
      <c r="A120" s="134">
        <v>119.0</v>
      </c>
      <c r="B120" s="141"/>
      <c r="C120" s="141"/>
      <c r="D120" s="141"/>
      <c r="E120" s="141" t="s">
        <v>251</v>
      </c>
      <c r="F120" s="135" t="s">
        <v>252</v>
      </c>
      <c r="G120" s="134">
        <v>15000.0</v>
      </c>
    </row>
    <row r="121">
      <c r="A121" s="134">
        <v>120.0</v>
      </c>
      <c r="B121" s="141"/>
      <c r="C121" s="141"/>
      <c r="D121" s="141"/>
      <c r="E121" s="141" t="s">
        <v>253</v>
      </c>
      <c r="F121" s="135" t="s">
        <v>254</v>
      </c>
      <c r="G121" s="134">
        <v>15000.0</v>
      </c>
    </row>
    <row r="122">
      <c r="A122" s="134">
        <v>121.0</v>
      </c>
      <c r="B122" s="141"/>
      <c r="C122" s="141"/>
      <c r="D122" s="141"/>
      <c r="E122" s="141" t="s">
        <v>255</v>
      </c>
      <c r="F122" s="134" t="s">
        <v>256</v>
      </c>
      <c r="G122" s="134">
        <v>15000.0</v>
      </c>
    </row>
    <row r="123">
      <c r="A123" s="134">
        <v>122.0</v>
      </c>
      <c r="B123" s="141"/>
      <c r="C123" s="141"/>
      <c r="D123" s="141"/>
      <c r="E123" s="141" t="s">
        <v>257</v>
      </c>
      <c r="F123" s="134" t="s">
        <v>258</v>
      </c>
      <c r="G123" s="134">
        <v>15000.0</v>
      </c>
    </row>
    <row r="124">
      <c r="A124" s="134">
        <v>123.0</v>
      </c>
      <c r="B124" s="141"/>
      <c r="C124" s="141"/>
      <c r="D124" s="141"/>
      <c r="E124" s="141" t="s">
        <v>259</v>
      </c>
      <c r="F124" s="134" t="s">
        <v>260</v>
      </c>
      <c r="G124" s="134">
        <v>15000.0</v>
      </c>
    </row>
    <row r="125">
      <c r="A125" s="134">
        <v>124.0</v>
      </c>
      <c r="B125" s="141"/>
      <c r="C125" s="141"/>
      <c r="D125" s="141"/>
      <c r="E125" s="141" t="s">
        <v>261</v>
      </c>
      <c r="F125" s="134" t="s">
        <v>262</v>
      </c>
      <c r="G125" s="134">
        <v>15000.0</v>
      </c>
    </row>
    <row r="126">
      <c r="A126" s="134">
        <v>125.0</v>
      </c>
      <c r="B126" s="141"/>
      <c r="C126" s="141"/>
      <c r="D126" s="141"/>
      <c r="E126" s="141" t="s">
        <v>263</v>
      </c>
      <c r="F126" s="134" t="s">
        <v>264</v>
      </c>
      <c r="G126" s="134">
        <v>15000.0</v>
      </c>
    </row>
    <row r="127">
      <c r="A127" s="134">
        <v>126.0</v>
      </c>
      <c r="B127" s="134"/>
      <c r="C127" s="134"/>
      <c r="D127" s="134"/>
      <c r="E127" s="134" t="s">
        <v>265</v>
      </c>
      <c r="F127" s="135"/>
      <c r="G127" s="135"/>
    </row>
    <row r="128">
      <c r="A128" s="134">
        <v>127.0</v>
      </c>
      <c r="B128" s="146"/>
      <c r="C128" s="146"/>
      <c r="D128" s="146"/>
      <c r="E128" s="146" t="s">
        <v>266</v>
      </c>
      <c r="F128" s="150" t="s">
        <v>267</v>
      </c>
      <c r="G128" s="145">
        <v>30000.0</v>
      </c>
      <c r="H128" s="142">
        <v>100000.0</v>
      </c>
    </row>
    <row r="129">
      <c r="A129" s="134">
        <v>128.0</v>
      </c>
      <c r="B129" s="141"/>
      <c r="C129" s="141"/>
      <c r="D129" s="141"/>
      <c r="E129" s="141" t="s">
        <v>269</v>
      </c>
      <c r="F129" s="134" t="s">
        <v>270</v>
      </c>
      <c r="G129" s="134">
        <v>15000.0</v>
      </c>
    </row>
    <row r="130">
      <c r="A130" s="134">
        <v>129.0</v>
      </c>
      <c r="B130" s="141"/>
      <c r="C130" s="141"/>
      <c r="D130" s="141"/>
      <c r="E130" s="141" t="s">
        <v>271</v>
      </c>
      <c r="F130" s="134" t="s">
        <v>272</v>
      </c>
      <c r="G130" s="134">
        <v>15000.0</v>
      </c>
    </row>
    <row r="131">
      <c r="A131" s="134">
        <v>130.0</v>
      </c>
      <c r="B131" s="141"/>
      <c r="C131" s="141"/>
      <c r="D131" s="141"/>
      <c r="E131" s="141" t="s">
        <v>273</v>
      </c>
      <c r="F131" s="134" t="s">
        <v>274</v>
      </c>
      <c r="G131" s="134">
        <v>15000.0</v>
      </c>
    </row>
    <row r="132">
      <c r="A132" s="134">
        <v>131.0</v>
      </c>
      <c r="B132" s="141"/>
      <c r="C132" s="141"/>
      <c r="D132" s="141"/>
      <c r="E132" s="141" t="s">
        <v>275</v>
      </c>
      <c r="F132" s="134" t="s">
        <v>276</v>
      </c>
      <c r="G132" s="134">
        <v>15000.0</v>
      </c>
    </row>
    <row r="133">
      <c r="A133" s="134">
        <v>132.0</v>
      </c>
      <c r="B133" s="141"/>
      <c r="C133" s="141"/>
      <c r="D133" s="141"/>
      <c r="E133" s="141" t="s">
        <v>277</v>
      </c>
      <c r="F133" s="135" t="s">
        <v>278</v>
      </c>
      <c r="G133" s="135"/>
    </row>
    <row r="134">
      <c r="A134" s="134">
        <v>133.0</v>
      </c>
      <c r="B134" s="134"/>
      <c r="C134" s="134"/>
      <c r="D134" s="134"/>
      <c r="E134" s="134" t="s">
        <v>279</v>
      </c>
      <c r="F134" s="135"/>
      <c r="G134" s="135"/>
    </row>
    <row r="135">
      <c r="A135" s="134">
        <v>134.0</v>
      </c>
      <c r="B135" s="141"/>
      <c r="C135" s="141"/>
      <c r="D135" s="141"/>
      <c r="E135" s="141" t="s">
        <v>280</v>
      </c>
      <c r="F135" s="134" t="s">
        <v>281</v>
      </c>
      <c r="G135" s="134">
        <v>15000.0</v>
      </c>
    </row>
    <row r="136">
      <c r="A136" s="134">
        <v>135.0</v>
      </c>
      <c r="B136" s="141"/>
      <c r="C136" s="141"/>
      <c r="D136" s="141"/>
      <c r="E136" s="141" t="s">
        <v>282</v>
      </c>
      <c r="F136" s="135" t="s">
        <v>281</v>
      </c>
      <c r="G136" s="134">
        <v>15000.0</v>
      </c>
    </row>
    <row r="137">
      <c r="A137" s="134">
        <v>136.0</v>
      </c>
      <c r="B137" s="144"/>
      <c r="C137" s="144"/>
      <c r="D137" s="144"/>
      <c r="E137" s="144" t="s">
        <v>283</v>
      </c>
      <c r="F137" s="134" t="s">
        <v>284</v>
      </c>
      <c r="G137" s="134">
        <v>15000.0</v>
      </c>
    </row>
    <row r="138">
      <c r="A138" s="134">
        <v>137.0</v>
      </c>
      <c r="B138" s="141"/>
      <c r="C138" s="141"/>
      <c r="D138" s="141"/>
      <c r="E138" s="141" t="s">
        <v>285</v>
      </c>
      <c r="F138" s="134" t="s">
        <v>286</v>
      </c>
      <c r="G138" s="134">
        <v>15000.0</v>
      </c>
    </row>
    <row r="139">
      <c r="A139" s="134">
        <v>138.0</v>
      </c>
      <c r="B139" s="141"/>
      <c r="C139" s="141"/>
      <c r="D139" s="141"/>
      <c r="E139" s="141" t="s">
        <v>287</v>
      </c>
      <c r="F139" s="134" t="s">
        <v>288</v>
      </c>
      <c r="G139" s="134">
        <v>30000.0</v>
      </c>
    </row>
    <row r="140">
      <c r="A140" s="134">
        <v>139.0</v>
      </c>
      <c r="B140" s="141"/>
      <c r="C140" s="141"/>
      <c r="D140" s="141"/>
      <c r="E140" s="141" t="s">
        <v>289</v>
      </c>
      <c r="F140" s="134" t="s">
        <v>290</v>
      </c>
      <c r="G140" s="134">
        <v>15000.0</v>
      </c>
    </row>
    <row r="141">
      <c r="A141" s="134">
        <v>140.0</v>
      </c>
      <c r="B141" s="141"/>
      <c r="C141" s="141"/>
      <c r="D141" s="141"/>
      <c r="E141" s="141" t="s">
        <v>291</v>
      </c>
      <c r="F141" s="135" t="s">
        <v>292</v>
      </c>
      <c r="G141" s="134">
        <v>15000.0</v>
      </c>
    </row>
    <row r="142">
      <c r="A142" s="134">
        <v>141.0</v>
      </c>
      <c r="B142" s="141"/>
      <c r="C142" s="141"/>
      <c r="D142" s="141"/>
      <c r="E142" s="141" t="s">
        <v>293</v>
      </c>
      <c r="F142" s="135" t="s">
        <v>294</v>
      </c>
      <c r="G142" s="134">
        <v>15000.0</v>
      </c>
    </row>
    <row r="143">
      <c r="A143" s="134">
        <v>142.0</v>
      </c>
      <c r="B143" s="134"/>
      <c r="C143" s="134"/>
      <c r="D143" s="134"/>
      <c r="E143" s="134" t="s">
        <v>295</v>
      </c>
      <c r="F143" s="135"/>
      <c r="G143" s="135"/>
    </row>
    <row r="144">
      <c r="A144" s="134">
        <v>143.0</v>
      </c>
      <c r="B144" s="134"/>
      <c r="C144" s="134"/>
      <c r="D144" s="134"/>
      <c r="E144" s="134" t="s">
        <v>296</v>
      </c>
      <c r="F144" s="135"/>
      <c r="G144" s="135"/>
    </row>
    <row r="145">
      <c r="A145" s="134">
        <v>144.0</v>
      </c>
      <c r="B145" s="134"/>
      <c r="C145" s="134"/>
      <c r="D145" s="134"/>
      <c r="E145" s="134" t="s">
        <v>297</v>
      </c>
      <c r="F145" s="135"/>
      <c r="G145" s="135"/>
    </row>
    <row r="146">
      <c r="A146" s="134">
        <v>145.0</v>
      </c>
      <c r="B146" s="141"/>
      <c r="C146" s="141"/>
      <c r="D146" s="141"/>
      <c r="E146" s="141" t="s">
        <v>298</v>
      </c>
      <c r="F146" s="135" t="s">
        <v>299</v>
      </c>
      <c r="G146" s="135"/>
    </row>
    <row r="147">
      <c r="A147" s="134">
        <v>146.0</v>
      </c>
      <c r="B147" s="141"/>
      <c r="C147" s="141"/>
      <c r="D147" s="141"/>
      <c r="E147" s="141" t="s">
        <v>300</v>
      </c>
      <c r="F147" s="135" t="s">
        <v>301</v>
      </c>
      <c r="G147" s="135"/>
    </row>
    <row r="148">
      <c r="A148" s="134">
        <v>147.0</v>
      </c>
      <c r="B148" s="141"/>
      <c r="C148" s="141"/>
      <c r="D148" s="141"/>
      <c r="E148" s="141" t="s">
        <v>302</v>
      </c>
      <c r="F148" s="134" t="s">
        <v>303</v>
      </c>
      <c r="G148" s="134">
        <v>15000.0</v>
      </c>
    </row>
    <row r="149">
      <c r="A149" s="134">
        <v>148.0</v>
      </c>
      <c r="B149" s="146"/>
      <c r="C149" s="146"/>
      <c r="D149" s="146"/>
      <c r="E149" s="146" t="s">
        <v>305</v>
      </c>
      <c r="F149" s="147" t="s">
        <v>306</v>
      </c>
    </row>
    <row r="150">
      <c r="A150" s="134">
        <v>149.0</v>
      </c>
      <c r="B150" s="134"/>
      <c r="C150" s="134"/>
      <c r="D150" s="134"/>
      <c r="E150" s="134" t="s">
        <v>308</v>
      </c>
      <c r="F150" s="135"/>
      <c r="G150" s="135"/>
    </row>
    <row r="151">
      <c r="A151" s="134">
        <v>150.0</v>
      </c>
      <c r="B151" s="134"/>
      <c r="C151" s="134"/>
      <c r="D151" s="134"/>
      <c r="E151" s="134" t="s">
        <v>309</v>
      </c>
      <c r="F151" s="135"/>
      <c r="G151" s="135"/>
    </row>
    <row r="152">
      <c r="A152" s="134">
        <v>151.0</v>
      </c>
      <c r="B152" s="134"/>
      <c r="C152" s="134"/>
      <c r="D152" s="134"/>
      <c r="E152" s="134" t="s">
        <v>310</v>
      </c>
      <c r="F152" s="135"/>
      <c r="G152" s="135"/>
    </row>
    <row r="153">
      <c r="A153" s="134">
        <v>152.0</v>
      </c>
      <c r="B153" s="134"/>
      <c r="C153" s="134"/>
      <c r="D153" s="134"/>
      <c r="E153" s="134" t="s">
        <v>311</v>
      </c>
      <c r="F153" s="135"/>
      <c r="G153" s="135"/>
    </row>
    <row r="154">
      <c r="A154" s="134">
        <v>153.0</v>
      </c>
      <c r="B154" s="141"/>
      <c r="C154" s="141"/>
      <c r="D154" s="141"/>
      <c r="E154" s="141" t="s">
        <v>312</v>
      </c>
      <c r="F154" s="135" t="s">
        <v>313</v>
      </c>
      <c r="G154" s="135"/>
    </row>
    <row r="155">
      <c r="A155" s="134">
        <v>154.0</v>
      </c>
      <c r="B155" s="134"/>
      <c r="C155" s="134"/>
      <c r="D155" s="134"/>
      <c r="E155" s="134" t="s">
        <v>314</v>
      </c>
      <c r="F155" s="135"/>
      <c r="G155" s="135"/>
    </row>
    <row r="156">
      <c r="A156" s="134">
        <v>155.0</v>
      </c>
      <c r="B156" s="141"/>
      <c r="C156" s="141"/>
      <c r="D156" s="141"/>
      <c r="E156" s="141" t="s">
        <v>315</v>
      </c>
      <c r="F156" s="134" t="s">
        <v>316</v>
      </c>
      <c r="G156" s="134">
        <v>15000.0</v>
      </c>
    </row>
    <row r="157">
      <c r="A157" s="134">
        <v>156.0</v>
      </c>
      <c r="B157" s="141"/>
      <c r="C157" s="141"/>
      <c r="D157" s="141"/>
      <c r="E157" s="141" t="s">
        <v>317</v>
      </c>
      <c r="F157" s="134" t="s">
        <v>318</v>
      </c>
      <c r="G157" s="134">
        <v>15000.0</v>
      </c>
    </row>
    <row r="158">
      <c r="A158" s="134">
        <v>157.0</v>
      </c>
      <c r="B158" s="144"/>
      <c r="C158" s="144"/>
      <c r="D158" s="144"/>
      <c r="E158" s="144" t="s">
        <v>319</v>
      </c>
      <c r="F158" s="134" t="s">
        <v>320</v>
      </c>
      <c r="G158" s="134">
        <v>15000.0</v>
      </c>
    </row>
    <row r="159">
      <c r="A159" s="134">
        <v>158.0</v>
      </c>
      <c r="B159" s="141"/>
      <c r="C159" s="141"/>
      <c r="D159" s="141"/>
      <c r="E159" s="141" t="s">
        <v>321</v>
      </c>
      <c r="F159" s="134" t="s">
        <v>322</v>
      </c>
      <c r="G159" s="134">
        <v>15000.0</v>
      </c>
    </row>
    <row r="160">
      <c r="A160" s="134">
        <v>159.0</v>
      </c>
      <c r="B160" s="141"/>
      <c r="C160" s="141"/>
      <c r="D160" s="141"/>
      <c r="E160" s="141" t="s">
        <v>323</v>
      </c>
      <c r="F160" s="134" t="s">
        <v>324</v>
      </c>
      <c r="G160" s="134"/>
    </row>
    <row r="161">
      <c r="A161" s="134">
        <v>160.0</v>
      </c>
      <c r="B161" s="141"/>
      <c r="C161" s="141"/>
      <c r="D161" s="141"/>
      <c r="E161" s="141" t="s">
        <v>325</v>
      </c>
      <c r="F161" s="134" t="s">
        <v>326</v>
      </c>
      <c r="G161" s="134">
        <v>15000.0</v>
      </c>
    </row>
    <row r="162">
      <c r="A162" s="134">
        <v>161.0</v>
      </c>
      <c r="B162" s="141"/>
      <c r="C162" s="141"/>
      <c r="D162" s="141"/>
      <c r="E162" s="141" t="s">
        <v>327</v>
      </c>
      <c r="F162" s="135" t="s">
        <v>328</v>
      </c>
      <c r="G162" s="134">
        <v>15000.0</v>
      </c>
    </row>
    <row r="163">
      <c r="A163" s="134">
        <v>162.0</v>
      </c>
      <c r="B163" s="141"/>
      <c r="C163" s="141"/>
      <c r="D163" s="141"/>
      <c r="E163" s="141" t="s">
        <v>329</v>
      </c>
      <c r="F163" s="134" t="s">
        <v>330</v>
      </c>
      <c r="G163" s="134">
        <v>15000.0</v>
      </c>
    </row>
    <row r="164">
      <c r="A164" s="134">
        <v>163.0</v>
      </c>
      <c r="B164" s="141"/>
      <c r="C164" s="141"/>
      <c r="D164" s="141"/>
      <c r="E164" s="141" t="s">
        <v>331</v>
      </c>
      <c r="F164" s="135" t="s">
        <v>332</v>
      </c>
      <c r="G164" s="134">
        <v>30000.0</v>
      </c>
    </row>
    <row r="165">
      <c r="A165" s="134">
        <v>164.0</v>
      </c>
      <c r="B165" s="141"/>
      <c r="C165" s="141"/>
      <c r="D165" s="141"/>
      <c r="E165" s="141" t="s">
        <v>333</v>
      </c>
      <c r="F165" s="134" t="s">
        <v>334</v>
      </c>
      <c r="G165" s="134">
        <v>15000.0</v>
      </c>
    </row>
    <row r="166">
      <c r="A166" s="134">
        <v>165.0</v>
      </c>
      <c r="B166" s="141"/>
      <c r="C166" s="141"/>
      <c r="D166" s="141"/>
      <c r="E166" s="141" t="s">
        <v>335</v>
      </c>
      <c r="F166" s="135" t="s">
        <v>336</v>
      </c>
      <c r="G166" s="134">
        <v>15000.0</v>
      </c>
    </row>
    <row r="167">
      <c r="A167" s="134">
        <v>166.0</v>
      </c>
      <c r="B167" s="141"/>
      <c r="C167" s="141"/>
      <c r="D167" s="141"/>
      <c r="E167" s="141" t="s">
        <v>337</v>
      </c>
      <c r="F167" s="135" t="s">
        <v>338</v>
      </c>
      <c r="G167" s="135"/>
    </row>
    <row r="168">
      <c r="A168" s="134">
        <v>167.0</v>
      </c>
      <c r="B168" s="141"/>
      <c r="C168" s="141"/>
      <c r="D168" s="141"/>
      <c r="E168" s="141" t="s">
        <v>339</v>
      </c>
      <c r="F168" s="134" t="s">
        <v>340</v>
      </c>
      <c r="G168" s="134">
        <v>15000.0</v>
      </c>
    </row>
    <row r="169">
      <c r="A169" s="134">
        <v>168.0</v>
      </c>
      <c r="B169" s="141"/>
      <c r="C169" s="141"/>
      <c r="D169" s="141"/>
      <c r="E169" s="141" t="s">
        <v>341</v>
      </c>
      <c r="F169" s="134" t="s">
        <v>342</v>
      </c>
      <c r="G169" s="134">
        <v>15000.0</v>
      </c>
    </row>
    <row r="170">
      <c r="A170" s="134">
        <v>169.0</v>
      </c>
      <c r="B170" s="141"/>
      <c r="C170" s="141"/>
      <c r="D170" s="141"/>
      <c r="E170" s="141" t="s">
        <v>343</v>
      </c>
      <c r="F170" s="134" t="s">
        <v>344</v>
      </c>
      <c r="G170" s="134">
        <v>15000.0</v>
      </c>
    </row>
    <row r="171">
      <c r="A171" s="134">
        <v>170.0</v>
      </c>
      <c r="B171" s="146"/>
      <c r="C171" s="146"/>
      <c r="D171" s="146"/>
      <c r="E171" s="146" t="s">
        <v>345</v>
      </c>
      <c r="F171" s="151" t="s">
        <v>346</v>
      </c>
      <c r="G171" s="145">
        <v>15000.0</v>
      </c>
    </row>
    <row r="172">
      <c r="A172" s="134">
        <v>171.0</v>
      </c>
      <c r="B172" s="141"/>
      <c r="C172" s="141"/>
      <c r="D172" s="141"/>
      <c r="E172" s="141" t="s">
        <v>348</v>
      </c>
      <c r="F172" s="135" t="s">
        <v>349</v>
      </c>
      <c r="G172" s="134">
        <v>15000.0</v>
      </c>
    </row>
    <row r="173">
      <c r="A173" s="134">
        <v>172.0</v>
      </c>
      <c r="B173" s="134"/>
      <c r="C173" s="134"/>
      <c r="D173" s="134"/>
      <c r="E173" s="134" t="s">
        <v>350</v>
      </c>
      <c r="F173" s="135"/>
      <c r="G173" s="135"/>
    </row>
    <row r="174">
      <c r="A174" s="134">
        <v>173.0</v>
      </c>
      <c r="B174" s="141"/>
      <c r="C174" s="141"/>
      <c r="D174" s="141"/>
      <c r="E174" s="141" t="s">
        <v>351</v>
      </c>
      <c r="F174" s="134" t="s">
        <v>352</v>
      </c>
      <c r="G174" s="134">
        <v>15000.0</v>
      </c>
    </row>
    <row r="175">
      <c r="A175" s="134">
        <v>174.0</v>
      </c>
      <c r="B175" s="141"/>
      <c r="C175" s="141"/>
      <c r="D175" s="141"/>
      <c r="E175" s="141" t="s">
        <v>353</v>
      </c>
      <c r="F175" s="134" t="s">
        <v>354</v>
      </c>
      <c r="G175" s="134">
        <v>15000.0</v>
      </c>
    </row>
    <row r="176">
      <c r="A176" s="134">
        <v>175.0</v>
      </c>
      <c r="B176" s="141"/>
      <c r="C176" s="141"/>
      <c r="D176" s="141"/>
      <c r="E176" s="141" t="s">
        <v>355</v>
      </c>
      <c r="F176" s="134" t="s">
        <v>356</v>
      </c>
      <c r="G176" s="134">
        <v>15000.0</v>
      </c>
    </row>
    <row r="177">
      <c r="A177" s="134">
        <v>176.0</v>
      </c>
      <c r="B177" s="141"/>
      <c r="C177" s="141"/>
      <c r="D177" s="141"/>
      <c r="E177" s="141" t="s">
        <v>357</v>
      </c>
      <c r="F177" s="134" t="s">
        <v>358</v>
      </c>
      <c r="G177" s="134">
        <v>15000.0</v>
      </c>
    </row>
    <row r="178">
      <c r="A178" s="134">
        <v>177.0</v>
      </c>
      <c r="B178" s="141"/>
      <c r="C178" s="141"/>
      <c r="D178" s="141"/>
      <c r="E178" s="141" t="s">
        <v>359</v>
      </c>
      <c r="F178" s="134" t="s">
        <v>360</v>
      </c>
      <c r="G178" s="134">
        <v>15000.0</v>
      </c>
    </row>
    <row r="179">
      <c r="A179" s="134">
        <v>178.0</v>
      </c>
      <c r="B179" s="141"/>
      <c r="C179" s="141"/>
      <c r="D179" s="141"/>
      <c r="E179" s="141" t="s">
        <v>361</v>
      </c>
      <c r="F179" s="134" t="s">
        <v>362</v>
      </c>
      <c r="G179" s="134">
        <v>15000.0</v>
      </c>
    </row>
    <row r="180">
      <c r="A180" s="134">
        <v>179.0</v>
      </c>
      <c r="B180" s="141"/>
      <c r="C180" s="141"/>
      <c r="D180" s="141"/>
      <c r="E180" s="141" t="s">
        <v>363</v>
      </c>
      <c r="F180" s="134" t="s">
        <v>364</v>
      </c>
      <c r="G180" s="134">
        <v>15000.0</v>
      </c>
    </row>
    <row r="181">
      <c r="A181" s="134">
        <v>180.0</v>
      </c>
      <c r="B181" s="144"/>
      <c r="C181" s="144"/>
      <c r="D181" s="144"/>
      <c r="E181" s="144" t="s">
        <v>365</v>
      </c>
      <c r="F181" s="134" t="s">
        <v>366</v>
      </c>
      <c r="G181" s="134">
        <v>15000.0</v>
      </c>
    </row>
    <row r="182">
      <c r="A182" s="134">
        <v>181.0</v>
      </c>
      <c r="B182" s="141"/>
      <c r="C182" s="141"/>
      <c r="D182" s="141"/>
      <c r="E182" s="141" t="s">
        <v>367</v>
      </c>
      <c r="F182" s="134" t="s">
        <v>368</v>
      </c>
      <c r="G182" s="134">
        <v>15000.0</v>
      </c>
    </row>
    <row r="183">
      <c r="A183" s="134">
        <v>182.0</v>
      </c>
      <c r="B183" s="141"/>
      <c r="C183" s="141"/>
      <c r="D183" s="141"/>
      <c r="E183" s="141" t="s">
        <v>369</v>
      </c>
      <c r="F183" s="134" t="s">
        <v>370</v>
      </c>
      <c r="G183" s="134">
        <v>15000.0</v>
      </c>
    </row>
    <row r="184">
      <c r="A184" s="134">
        <v>183.0</v>
      </c>
      <c r="B184" s="141"/>
      <c r="C184" s="141"/>
      <c r="D184" s="141"/>
      <c r="E184" s="141" t="s">
        <v>371</v>
      </c>
      <c r="F184" s="135" t="s">
        <v>372</v>
      </c>
      <c r="G184" s="135"/>
    </row>
    <row r="185">
      <c r="A185" s="134">
        <v>184.0</v>
      </c>
      <c r="B185" s="141"/>
      <c r="C185" s="141"/>
      <c r="D185" s="141"/>
      <c r="E185" s="141" t="s">
        <v>373</v>
      </c>
      <c r="F185" s="134" t="s">
        <v>374</v>
      </c>
      <c r="G185" s="134">
        <v>15000.0</v>
      </c>
    </row>
    <row r="186">
      <c r="A186" s="134">
        <v>185.0</v>
      </c>
      <c r="B186" s="141"/>
      <c r="C186" s="141"/>
      <c r="D186" s="141"/>
      <c r="E186" s="141" t="s">
        <v>375</v>
      </c>
      <c r="F186" s="134" t="s">
        <v>376</v>
      </c>
      <c r="G186" s="134">
        <v>15000.0</v>
      </c>
    </row>
    <row r="187">
      <c r="A187" s="134">
        <v>186.0</v>
      </c>
      <c r="B187" s="141"/>
      <c r="C187" s="141"/>
      <c r="D187" s="141"/>
      <c r="E187" s="141" t="s">
        <v>377</v>
      </c>
      <c r="F187" s="134" t="s">
        <v>378</v>
      </c>
      <c r="G187" s="134">
        <v>15000.0</v>
      </c>
    </row>
    <row r="188">
      <c r="A188" s="134">
        <v>187.0</v>
      </c>
      <c r="B188" s="141"/>
      <c r="C188" s="141"/>
      <c r="D188" s="141"/>
      <c r="E188" s="141" t="s">
        <v>379</v>
      </c>
      <c r="F188" s="134" t="s">
        <v>380</v>
      </c>
      <c r="G188" s="134">
        <v>15000.0</v>
      </c>
    </row>
    <row r="189">
      <c r="A189" s="134">
        <v>188.0</v>
      </c>
      <c r="B189" s="134"/>
      <c r="C189" s="134"/>
      <c r="D189" s="134"/>
      <c r="E189" s="134" t="s">
        <v>381</v>
      </c>
      <c r="F189" s="135"/>
      <c r="G189" s="135"/>
    </row>
    <row r="190">
      <c r="A190" s="134">
        <v>189.0</v>
      </c>
      <c r="B190" s="144"/>
      <c r="C190" s="144"/>
      <c r="D190" s="144"/>
      <c r="E190" s="144" t="s">
        <v>382</v>
      </c>
      <c r="F190" s="134" t="s">
        <v>383</v>
      </c>
      <c r="G190" s="134">
        <v>15000.0</v>
      </c>
    </row>
    <row r="191">
      <c r="A191" s="134">
        <v>190.0</v>
      </c>
      <c r="B191" s="141"/>
      <c r="C191" s="141"/>
      <c r="D191" s="141"/>
      <c r="E191" s="141" t="s">
        <v>384</v>
      </c>
      <c r="F191" s="135" t="s">
        <v>385</v>
      </c>
      <c r="G191" s="134">
        <v>15000.0</v>
      </c>
    </row>
    <row r="192">
      <c r="A192" s="134">
        <v>191.0</v>
      </c>
      <c r="B192" s="141"/>
      <c r="C192" s="141"/>
      <c r="D192" s="141"/>
      <c r="E192" s="141" t="s">
        <v>386</v>
      </c>
      <c r="F192" s="134" t="s">
        <v>387</v>
      </c>
      <c r="G192" s="134">
        <v>15000.0</v>
      </c>
    </row>
    <row r="193">
      <c r="A193" s="134">
        <v>192.0</v>
      </c>
      <c r="B193" s="144"/>
      <c r="C193" s="144"/>
      <c r="D193" s="144"/>
      <c r="E193" s="144" t="s">
        <v>388</v>
      </c>
      <c r="F193" s="134" t="s">
        <v>389</v>
      </c>
      <c r="G193" s="134"/>
    </row>
    <row r="194">
      <c r="A194" s="134">
        <v>193.0</v>
      </c>
      <c r="B194" s="141"/>
      <c r="C194" s="141"/>
      <c r="D194" s="141"/>
      <c r="E194" s="141" t="s">
        <v>390</v>
      </c>
      <c r="F194" s="134" t="s">
        <v>391</v>
      </c>
      <c r="G194" s="134">
        <v>15000.0</v>
      </c>
    </row>
    <row r="195">
      <c r="A195" s="134">
        <v>194.0</v>
      </c>
      <c r="B195" s="141"/>
      <c r="C195" s="141"/>
      <c r="D195" s="141"/>
      <c r="E195" s="141" t="s">
        <v>392</v>
      </c>
      <c r="F195" s="135" t="s">
        <v>393</v>
      </c>
      <c r="G195" s="135"/>
    </row>
    <row r="196">
      <c r="A196" s="134">
        <v>195.0</v>
      </c>
      <c r="B196" s="141"/>
      <c r="C196" s="141"/>
      <c r="D196" s="141"/>
      <c r="E196" s="141" t="s">
        <v>394</v>
      </c>
      <c r="F196" s="135" t="s">
        <v>395</v>
      </c>
      <c r="G196" s="134">
        <v>15000.0</v>
      </c>
    </row>
    <row r="197">
      <c r="A197" s="134">
        <v>196.0</v>
      </c>
      <c r="B197" s="141"/>
      <c r="C197" s="141"/>
      <c r="D197" s="141"/>
      <c r="E197" s="141" t="s">
        <v>396</v>
      </c>
      <c r="F197" s="134" t="s">
        <v>397</v>
      </c>
      <c r="G197" s="134">
        <v>15000.0</v>
      </c>
    </row>
    <row r="198">
      <c r="A198" s="134">
        <v>197.0</v>
      </c>
      <c r="B198" s="134"/>
      <c r="C198" s="134"/>
      <c r="D198" s="134"/>
      <c r="E198" s="134" t="s">
        <v>398</v>
      </c>
      <c r="F198" s="135"/>
      <c r="G198" s="135"/>
    </row>
    <row r="199">
      <c r="A199" s="134">
        <v>198.0</v>
      </c>
      <c r="B199" s="141"/>
      <c r="C199" s="141"/>
      <c r="D199" s="141"/>
      <c r="E199" s="141" t="s">
        <v>399</v>
      </c>
      <c r="F199" s="134" t="s">
        <v>400</v>
      </c>
      <c r="G199" s="134">
        <v>15000.0</v>
      </c>
    </row>
    <row r="200">
      <c r="A200" s="134">
        <v>199.0</v>
      </c>
      <c r="B200" s="141"/>
      <c r="C200" s="141"/>
      <c r="D200" s="141"/>
      <c r="E200" s="141" t="s">
        <v>401</v>
      </c>
      <c r="F200" s="135" t="s">
        <v>402</v>
      </c>
      <c r="G200" s="135"/>
      <c r="H200" s="142"/>
    </row>
    <row r="201">
      <c r="A201" s="134">
        <v>200.0</v>
      </c>
      <c r="B201" s="141"/>
      <c r="C201" s="141"/>
      <c r="D201" s="141"/>
      <c r="E201" s="141" t="s">
        <v>403</v>
      </c>
      <c r="F201" s="134" t="s">
        <v>404</v>
      </c>
      <c r="G201" s="134">
        <v>15000.0</v>
      </c>
    </row>
    <row r="202">
      <c r="A202" s="134">
        <v>201.0</v>
      </c>
      <c r="B202" s="141"/>
      <c r="C202" s="141"/>
      <c r="D202" s="141"/>
      <c r="E202" s="141" t="s">
        <v>405</v>
      </c>
      <c r="F202" s="134" t="s">
        <v>406</v>
      </c>
      <c r="G202" s="134">
        <v>15000.0</v>
      </c>
    </row>
    <row r="203">
      <c r="A203" s="134">
        <v>202.0</v>
      </c>
      <c r="B203" s="141"/>
      <c r="C203" s="141"/>
      <c r="D203" s="141"/>
      <c r="E203" s="141" t="s">
        <v>407</v>
      </c>
      <c r="F203" s="134" t="s">
        <v>408</v>
      </c>
      <c r="G203" s="134">
        <v>15000.0</v>
      </c>
    </row>
    <row r="204">
      <c r="A204" s="134">
        <v>203.0</v>
      </c>
      <c r="B204" s="141"/>
      <c r="C204" s="141"/>
      <c r="D204" s="141"/>
      <c r="E204" s="141" t="s">
        <v>409</v>
      </c>
      <c r="F204" s="135" t="s">
        <v>410</v>
      </c>
      <c r="G204" s="134">
        <v>30000.0</v>
      </c>
    </row>
    <row r="205">
      <c r="A205" s="134">
        <v>204.0</v>
      </c>
      <c r="B205" s="141"/>
      <c r="C205" s="141"/>
      <c r="D205" s="141"/>
      <c r="E205" s="141" t="s">
        <v>411</v>
      </c>
      <c r="F205" s="135" t="s">
        <v>412</v>
      </c>
      <c r="G205" s="134">
        <v>15000.0</v>
      </c>
    </row>
    <row r="206">
      <c r="A206" s="134">
        <v>205.0</v>
      </c>
      <c r="B206" s="141"/>
      <c r="C206" s="141"/>
      <c r="D206" s="141"/>
      <c r="E206" s="141" t="s">
        <v>413</v>
      </c>
      <c r="F206" s="135" t="s">
        <v>414</v>
      </c>
      <c r="G206" s="135"/>
    </row>
    <row r="207">
      <c r="A207" s="134">
        <v>206.0</v>
      </c>
      <c r="B207" s="141"/>
      <c r="C207" s="141"/>
      <c r="D207" s="141"/>
      <c r="E207" s="141" t="s">
        <v>415</v>
      </c>
      <c r="F207" s="134" t="s">
        <v>416</v>
      </c>
      <c r="G207" s="134">
        <v>15000.0</v>
      </c>
    </row>
    <row r="208">
      <c r="A208" s="134">
        <v>207.0</v>
      </c>
      <c r="B208" s="141"/>
      <c r="C208" s="141"/>
      <c r="D208" s="141"/>
      <c r="E208" s="141" t="s">
        <v>417</v>
      </c>
      <c r="F208" s="135" t="s">
        <v>418</v>
      </c>
      <c r="G208" s="134">
        <v>15000.0</v>
      </c>
    </row>
    <row r="209">
      <c r="A209" s="134">
        <v>208.0</v>
      </c>
      <c r="B209" s="141"/>
      <c r="C209" s="141"/>
      <c r="D209" s="141"/>
      <c r="E209" s="141" t="s">
        <v>419</v>
      </c>
      <c r="F209" s="134" t="s">
        <v>420</v>
      </c>
      <c r="G209" s="134">
        <v>15000.0</v>
      </c>
    </row>
    <row r="210">
      <c r="A210" s="134">
        <v>209.0</v>
      </c>
      <c r="B210" s="141"/>
      <c r="C210" s="141"/>
      <c r="D210" s="141"/>
      <c r="E210" s="141" t="s">
        <v>421</v>
      </c>
      <c r="F210" s="134" t="s">
        <v>422</v>
      </c>
      <c r="G210" s="134">
        <v>15000.0</v>
      </c>
    </row>
    <row r="211">
      <c r="A211" s="134">
        <v>210.0</v>
      </c>
      <c r="B211" s="141"/>
      <c r="C211" s="141"/>
      <c r="D211" s="141"/>
      <c r="E211" s="141" t="s">
        <v>423</v>
      </c>
      <c r="F211" s="134" t="s">
        <v>424</v>
      </c>
      <c r="G211" s="134">
        <v>15000.0</v>
      </c>
    </row>
    <row r="212">
      <c r="A212" s="134">
        <v>211.0</v>
      </c>
      <c r="B212" s="144"/>
      <c r="C212" s="144"/>
      <c r="D212" s="144"/>
      <c r="E212" s="144" t="s">
        <v>425</v>
      </c>
      <c r="F212" s="134" t="s">
        <v>426</v>
      </c>
      <c r="G212" s="134">
        <v>15000.0</v>
      </c>
    </row>
    <row r="213">
      <c r="A213" s="134">
        <v>212.0</v>
      </c>
      <c r="B213" s="144"/>
      <c r="C213" s="144"/>
      <c r="D213" s="144"/>
      <c r="E213" s="144" t="s">
        <v>427</v>
      </c>
      <c r="F213" s="134" t="s">
        <v>428</v>
      </c>
      <c r="G213" s="134"/>
    </row>
    <row r="214">
      <c r="A214" s="134">
        <v>213.0</v>
      </c>
      <c r="B214" s="134"/>
      <c r="C214" s="134"/>
      <c r="D214" s="134"/>
      <c r="E214" s="134" t="s">
        <v>429</v>
      </c>
      <c r="F214" s="135"/>
      <c r="G214" s="135"/>
    </row>
    <row r="215">
      <c r="A215" s="134">
        <v>214.0</v>
      </c>
      <c r="B215" s="141"/>
      <c r="C215" s="141"/>
      <c r="D215" s="141"/>
      <c r="E215" s="141" t="s">
        <v>430</v>
      </c>
      <c r="F215" s="134" t="s">
        <v>431</v>
      </c>
      <c r="G215" s="134">
        <v>15000.0</v>
      </c>
    </row>
    <row r="216">
      <c r="A216" s="134">
        <v>215.0</v>
      </c>
      <c r="B216" s="141"/>
      <c r="C216" s="141"/>
      <c r="D216" s="141"/>
      <c r="E216" s="141" t="s">
        <v>432</v>
      </c>
      <c r="F216" s="134" t="s">
        <v>433</v>
      </c>
      <c r="G216" s="134">
        <v>15000.0</v>
      </c>
    </row>
    <row r="217">
      <c r="A217" s="134">
        <v>216.0</v>
      </c>
      <c r="B217" s="141"/>
      <c r="C217" s="141"/>
      <c r="D217" s="141"/>
      <c r="E217" s="141" t="s">
        <v>434</v>
      </c>
      <c r="F217" s="134" t="s">
        <v>435</v>
      </c>
      <c r="G217" s="134">
        <v>15000.0</v>
      </c>
    </row>
    <row r="218">
      <c r="A218" s="134">
        <v>217.0</v>
      </c>
      <c r="B218" s="141"/>
      <c r="C218" s="141"/>
      <c r="D218" s="141"/>
      <c r="E218" s="141" t="s">
        <v>436</v>
      </c>
      <c r="F218" s="134" t="s">
        <v>437</v>
      </c>
      <c r="G218" s="134">
        <v>15000.0</v>
      </c>
    </row>
    <row r="219">
      <c r="A219" s="134">
        <v>218.0</v>
      </c>
      <c r="B219" s="141"/>
      <c r="C219" s="141"/>
      <c r="D219" s="141"/>
      <c r="E219" s="141" t="s">
        <v>438</v>
      </c>
      <c r="F219" s="134" t="s">
        <v>439</v>
      </c>
      <c r="G219" s="134">
        <v>15000.0</v>
      </c>
    </row>
    <row r="220">
      <c r="A220" s="134">
        <v>219.0</v>
      </c>
      <c r="B220" s="141"/>
      <c r="C220" s="141"/>
      <c r="D220" s="141"/>
      <c r="E220" s="141" t="s">
        <v>440</v>
      </c>
      <c r="F220" s="134" t="s">
        <v>441</v>
      </c>
      <c r="G220" s="134">
        <v>15000.0</v>
      </c>
    </row>
    <row r="221">
      <c r="A221" s="134">
        <v>220.0</v>
      </c>
      <c r="B221" s="144"/>
      <c r="C221" s="144"/>
      <c r="D221" s="144"/>
      <c r="E221" s="144" t="s">
        <v>442</v>
      </c>
      <c r="F221" s="134" t="s">
        <v>443</v>
      </c>
      <c r="G221" s="134">
        <v>30000.0</v>
      </c>
    </row>
    <row r="222">
      <c r="A222" s="134">
        <v>221.0</v>
      </c>
      <c r="B222" s="141"/>
      <c r="C222" s="141"/>
      <c r="D222" s="141"/>
      <c r="E222" s="141" t="s">
        <v>444</v>
      </c>
      <c r="F222" s="134" t="s">
        <v>445</v>
      </c>
      <c r="G222" s="134">
        <v>15000.0</v>
      </c>
    </row>
    <row r="223">
      <c r="A223" s="134">
        <v>222.0</v>
      </c>
      <c r="B223" s="141"/>
      <c r="C223" s="141"/>
      <c r="D223" s="141"/>
      <c r="E223" s="141" t="s">
        <v>446</v>
      </c>
      <c r="F223" s="143" t="s">
        <v>447</v>
      </c>
      <c r="G223" s="134">
        <v>15000.0</v>
      </c>
    </row>
    <row r="224">
      <c r="A224" s="134">
        <v>223.0</v>
      </c>
      <c r="B224" s="141"/>
      <c r="C224" s="141"/>
      <c r="D224" s="141"/>
      <c r="E224" s="141" t="s">
        <v>448</v>
      </c>
      <c r="F224" s="135" t="s">
        <v>449</v>
      </c>
      <c r="G224" s="135"/>
    </row>
    <row r="225">
      <c r="A225" s="134">
        <v>224.0</v>
      </c>
      <c r="B225" s="141"/>
      <c r="C225" s="141"/>
      <c r="D225" s="141"/>
      <c r="E225" s="141" t="s">
        <v>450</v>
      </c>
      <c r="F225" s="135" t="s">
        <v>451</v>
      </c>
      <c r="G225" s="134">
        <v>15000.0</v>
      </c>
    </row>
    <row r="226">
      <c r="A226" s="134">
        <v>225.0</v>
      </c>
      <c r="B226" s="141"/>
      <c r="C226" s="141"/>
      <c r="D226" s="141"/>
      <c r="E226" s="141" t="s">
        <v>452</v>
      </c>
      <c r="F226" s="134" t="s">
        <v>453</v>
      </c>
      <c r="G226" s="134">
        <v>15000.0</v>
      </c>
    </row>
    <row r="227">
      <c r="A227" s="134">
        <v>226.0</v>
      </c>
      <c r="B227" s="141"/>
      <c r="C227" s="141"/>
      <c r="D227" s="141"/>
      <c r="E227" s="141" t="s">
        <v>454</v>
      </c>
      <c r="F227" s="134" t="s">
        <v>455</v>
      </c>
      <c r="G227" s="134">
        <v>15000.0</v>
      </c>
    </row>
    <row r="228">
      <c r="A228" s="134">
        <v>227.0</v>
      </c>
      <c r="B228" s="144"/>
      <c r="C228" s="144"/>
      <c r="D228" s="144"/>
      <c r="E228" s="144" t="s">
        <v>456</v>
      </c>
      <c r="F228" s="134" t="s">
        <v>457</v>
      </c>
      <c r="G228" s="134"/>
    </row>
    <row r="229">
      <c r="A229" s="134">
        <v>228.0</v>
      </c>
      <c r="B229" s="144"/>
      <c r="C229" s="144"/>
      <c r="D229" s="144"/>
      <c r="E229" s="144" t="s">
        <v>458</v>
      </c>
      <c r="F229" s="134" t="s">
        <v>457</v>
      </c>
      <c r="G229" s="134"/>
    </row>
    <row r="230">
      <c r="A230" s="134">
        <v>229.0</v>
      </c>
      <c r="B230" s="141"/>
      <c r="C230" s="141"/>
      <c r="D230" s="141"/>
      <c r="E230" s="141" t="s">
        <v>459</v>
      </c>
      <c r="F230" s="134" t="s">
        <v>460</v>
      </c>
      <c r="G230" s="134">
        <v>15000.0</v>
      </c>
    </row>
    <row r="231">
      <c r="A231" s="134">
        <v>230.0</v>
      </c>
      <c r="B231" s="141"/>
      <c r="C231" s="141"/>
      <c r="D231" s="141"/>
      <c r="E231" s="141" t="s">
        <v>461</v>
      </c>
      <c r="F231" s="134" t="s">
        <v>462</v>
      </c>
      <c r="G231" s="134">
        <v>15000.0</v>
      </c>
    </row>
    <row r="232">
      <c r="A232" s="134">
        <v>231.0</v>
      </c>
      <c r="B232" s="134"/>
      <c r="C232" s="134"/>
      <c r="D232" s="134"/>
      <c r="E232" s="134" t="s">
        <v>463</v>
      </c>
      <c r="F232" s="135"/>
      <c r="G232" s="135"/>
    </row>
    <row r="233">
      <c r="A233" s="134">
        <v>232.0</v>
      </c>
      <c r="B233" s="141"/>
      <c r="C233" s="141"/>
      <c r="D233" s="141"/>
      <c r="E233" s="141" t="s">
        <v>465</v>
      </c>
      <c r="F233" s="134" t="s">
        <v>466</v>
      </c>
      <c r="G233" s="134">
        <v>15000.0</v>
      </c>
    </row>
    <row r="234">
      <c r="A234" s="134">
        <v>233.0</v>
      </c>
      <c r="B234" s="141"/>
      <c r="C234" s="141"/>
      <c r="D234" s="141"/>
      <c r="E234" s="141" t="s">
        <v>467</v>
      </c>
      <c r="F234" s="134" t="s">
        <v>468</v>
      </c>
      <c r="G234" s="134">
        <v>15000.0</v>
      </c>
    </row>
    <row r="235">
      <c r="A235" s="134">
        <v>234.0</v>
      </c>
      <c r="B235" s="141"/>
      <c r="C235" s="141"/>
      <c r="D235" s="141"/>
      <c r="E235" s="141" t="s">
        <v>469</v>
      </c>
      <c r="F235" s="134" t="s">
        <v>470</v>
      </c>
      <c r="G235" s="134">
        <v>15000.0</v>
      </c>
    </row>
    <row r="236">
      <c r="A236" s="134">
        <v>235.0</v>
      </c>
      <c r="B236" s="134"/>
      <c r="C236" s="134"/>
      <c r="D236" s="134"/>
      <c r="E236" s="134" t="s">
        <v>471</v>
      </c>
      <c r="F236" s="135"/>
      <c r="G236" s="135"/>
    </row>
    <row r="237">
      <c r="A237" s="134">
        <v>236.0</v>
      </c>
      <c r="B237" s="134"/>
      <c r="C237" s="134"/>
      <c r="D237" s="134"/>
      <c r="E237" s="134" t="s">
        <v>472</v>
      </c>
      <c r="F237" s="135"/>
      <c r="G237" s="135"/>
    </row>
    <row r="238">
      <c r="A238" s="134">
        <v>237.0</v>
      </c>
      <c r="B238" s="144"/>
      <c r="C238" s="144"/>
      <c r="D238" s="144"/>
      <c r="E238" s="144" t="s">
        <v>473</v>
      </c>
      <c r="F238" s="134" t="s">
        <v>474</v>
      </c>
      <c r="G238" s="134"/>
    </row>
    <row r="239">
      <c r="A239" s="134">
        <v>238.0</v>
      </c>
      <c r="B239" s="141"/>
      <c r="C239" s="141"/>
      <c r="D239" s="141"/>
      <c r="E239" s="141" t="s">
        <v>475</v>
      </c>
      <c r="F239" s="134" t="s">
        <v>356</v>
      </c>
      <c r="G239" s="134">
        <v>15000.0</v>
      </c>
    </row>
    <row r="240">
      <c r="A240" s="134">
        <v>239.0</v>
      </c>
      <c r="B240" s="141"/>
      <c r="C240" s="141"/>
      <c r="D240" s="141"/>
      <c r="E240" s="141" t="s">
        <v>476</v>
      </c>
      <c r="F240" s="143" t="s">
        <v>477</v>
      </c>
      <c r="G240" s="134">
        <v>15000.0</v>
      </c>
    </row>
    <row r="241">
      <c r="A241" s="134">
        <v>240.0</v>
      </c>
      <c r="B241" s="141"/>
      <c r="C241" s="141"/>
      <c r="D241" s="141"/>
      <c r="E241" s="141" t="s">
        <v>478</v>
      </c>
      <c r="F241" s="135" t="s">
        <v>479</v>
      </c>
      <c r="G241" s="134">
        <v>15000.0</v>
      </c>
    </row>
    <row r="242">
      <c r="A242" s="134">
        <v>241.0</v>
      </c>
      <c r="B242" s="141"/>
      <c r="C242" s="141"/>
      <c r="D242" s="141"/>
      <c r="E242" s="141" t="s">
        <v>480</v>
      </c>
      <c r="F242" s="134" t="s">
        <v>481</v>
      </c>
      <c r="G242" s="134">
        <v>15000.0</v>
      </c>
    </row>
    <row r="243">
      <c r="A243" s="134">
        <v>242.0</v>
      </c>
      <c r="B243" s="141"/>
      <c r="C243" s="141"/>
      <c r="D243" s="141"/>
      <c r="E243" s="141" t="s">
        <v>482</v>
      </c>
      <c r="F243" s="134" t="s">
        <v>483</v>
      </c>
      <c r="G243" s="134">
        <v>15000.0</v>
      </c>
    </row>
    <row r="244">
      <c r="A244" s="134">
        <v>243.0</v>
      </c>
      <c r="B244" s="134"/>
      <c r="C244" s="134"/>
      <c r="D244" s="134"/>
      <c r="E244" s="134" t="s">
        <v>484</v>
      </c>
      <c r="F244" s="135"/>
      <c r="G244" s="135"/>
    </row>
    <row r="245">
      <c r="A245" s="134">
        <v>244.0</v>
      </c>
      <c r="B245" s="141"/>
      <c r="C245" s="141"/>
      <c r="D245" s="141"/>
      <c r="E245" s="141" t="s">
        <v>485</v>
      </c>
      <c r="F245" s="143" t="s">
        <v>486</v>
      </c>
      <c r="G245" s="134"/>
    </row>
    <row r="246">
      <c r="A246" s="134">
        <v>245.0</v>
      </c>
      <c r="B246" s="141"/>
      <c r="C246" s="141"/>
      <c r="D246" s="141"/>
      <c r="E246" s="141" t="s">
        <v>487</v>
      </c>
      <c r="F246" s="152" t="s">
        <v>488</v>
      </c>
      <c r="G246" s="135"/>
    </row>
    <row r="247">
      <c r="A247" s="134">
        <v>246.0</v>
      </c>
      <c r="B247" s="141"/>
      <c r="C247" s="141"/>
      <c r="D247" s="141"/>
      <c r="E247" s="141" t="s">
        <v>489</v>
      </c>
      <c r="F247" s="135" t="s">
        <v>490</v>
      </c>
      <c r="G247" s="134">
        <v>30000.0</v>
      </c>
    </row>
    <row r="248">
      <c r="A248" s="134">
        <v>247.0</v>
      </c>
      <c r="B248" s="141"/>
      <c r="C248" s="141"/>
      <c r="D248" s="141"/>
      <c r="E248" s="141" t="s">
        <v>491</v>
      </c>
      <c r="F248" s="134" t="s">
        <v>185</v>
      </c>
      <c r="G248" s="134">
        <v>30000.0</v>
      </c>
    </row>
    <row r="249">
      <c r="A249" s="134">
        <v>248.0</v>
      </c>
      <c r="B249" s="141"/>
      <c r="C249" s="141"/>
      <c r="D249" s="141"/>
      <c r="E249" s="141" t="s">
        <v>492</v>
      </c>
      <c r="F249" s="134" t="s">
        <v>493</v>
      </c>
      <c r="G249" s="134">
        <v>15000.0</v>
      </c>
    </row>
    <row r="250">
      <c r="A250" s="134">
        <v>249.0</v>
      </c>
      <c r="B250" s="141"/>
      <c r="C250" s="141"/>
      <c r="D250" s="141"/>
      <c r="E250" s="141" t="s">
        <v>494</v>
      </c>
      <c r="F250" s="135" t="s">
        <v>495</v>
      </c>
      <c r="G250" s="135"/>
    </row>
    <row r="251">
      <c r="A251" s="134">
        <v>250.0</v>
      </c>
      <c r="B251" s="141"/>
      <c r="C251" s="141"/>
      <c r="D251" s="141"/>
      <c r="E251" s="141" t="s">
        <v>496</v>
      </c>
      <c r="F251" s="143" t="s">
        <v>497</v>
      </c>
      <c r="G251" s="134">
        <v>15000.0</v>
      </c>
    </row>
    <row r="252">
      <c r="A252" s="134">
        <v>251.0</v>
      </c>
      <c r="B252" s="134"/>
      <c r="C252" s="134"/>
      <c r="D252" s="134"/>
      <c r="E252" s="134" t="s">
        <v>498</v>
      </c>
      <c r="F252" s="135"/>
      <c r="G252" s="135"/>
    </row>
    <row r="253">
      <c r="A253" s="134">
        <v>252.0</v>
      </c>
      <c r="B253" s="134"/>
      <c r="C253" s="134"/>
      <c r="D253" s="134"/>
      <c r="E253" s="134" t="s">
        <v>499</v>
      </c>
      <c r="F253" s="135"/>
      <c r="G253" s="135"/>
    </row>
    <row r="254">
      <c r="A254" s="134">
        <v>253.0</v>
      </c>
      <c r="B254" s="134"/>
      <c r="C254" s="134"/>
      <c r="D254" s="134"/>
      <c r="E254" s="134" t="s">
        <v>500</v>
      </c>
      <c r="F254" s="135"/>
      <c r="G254" s="135"/>
    </row>
    <row r="255">
      <c r="A255" s="134">
        <v>254.0</v>
      </c>
      <c r="B255" s="134"/>
      <c r="C255" s="134"/>
      <c r="D255" s="134"/>
      <c r="E255" s="134" t="s">
        <v>501</v>
      </c>
      <c r="F255" s="135"/>
      <c r="G255" s="135"/>
    </row>
    <row r="256">
      <c r="A256" s="134">
        <v>255.0</v>
      </c>
      <c r="B256" s="134"/>
      <c r="C256" s="134"/>
      <c r="D256" s="134"/>
      <c r="E256" s="134" t="s">
        <v>502</v>
      </c>
      <c r="F256" s="135"/>
      <c r="G256" s="135"/>
    </row>
    <row r="257">
      <c r="A257" s="134">
        <v>256.0</v>
      </c>
      <c r="B257" s="141"/>
      <c r="C257" s="141"/>
      <c r="D257" s="141"/>
      <c r="E257" s="141" t="s">
        <v>503</v>
      </c>
      <c r="F257" s="134" t="s">
        <v>504</v>
      </c>
      <c r="G257" s="134">
        <v>15000.0</v>
      </c>
    </row>
    <row r="258">
      <c r="A258" s="134">
        <v>257.0</v>
      </c>
      <c r="B258" s="134"/>
      <c r="C258" s="134"/>
      <c r="D258" s="134"/>
      <c r="E258" s="134" t="s">
        <v>505</v>
      </c>
      <c r="F258" s="135"/>
      <c r="G258" s="135"/>
    </row>
    <row r="259">
      <c r="A259" s="134">
        <v>258.0</v>
      </c>
      <c r="B259" s="144"/>
      <c r="C259" s="144"/>
      <c r="D259" s="144"/>
      <c r="E259" s="144" t="s">
        <v>506</v>
      </c>
      <c r="F259" s="134" t="s">
        <v>507</v>
      </c>
      <c r="G259" s="134">
        <v>10000.0</v>
      </c>
    </row>
    <row r="260">
      <c r="A260" s="135">
        <v>259.0</v>
      </c>
      <c r="B260" s="144"/>
      <c r="C260" s="144"/>
      <c r="D260" s="144"/>
      <c r="E260" s="144" t="s">
        <v>508</v>
      </c>
      <c r="F260" s="135" t="s">
        <v>509</v>
      </c>
      <c r="G260" s="135"/>
    </row>
    <row r="261">
      <c r="A261" s="135">
        <v>260.0</v>
      </c>
      <c r="B261" s="135"/>
      <c r="C261" s="135"/>
      <c r="D261" s="135"/>
      <c r="E261" s="135" t="s">
        <v>510</v>
      </c>
      <c r="F261" s="135"/>
      <c r="G261" s="135"/>
    </row>
    <row r="262">
      <c r="A262" s="135"/>
      <c r="B262" s="135"/>
      <c r="C262" s="135"/>
      <c r="D262" s="135"/>
      <c r="E262" s="135"/>
      <c r="F262" s="153" t="s">
        <v>620</v>
      </c>
      <c r="G262" s="154">
        <f t="shared" ref="G262:H262" si="1">SUM(G2:G261)</f>
        <v>3340000</v>
      </c>
      <c r="H262" s="154">
        <f t="shared" si="1"/>
        <v>330000</v>
      </c>
    </row>
    <row r="263">
      <c r="A263" s="135"/>
      <c r="B263" s="135"/>
      <c r="C263" s="135"/>
      <c r="D263" s="135"/>
      <c r="E263" s="135"/>
      <c r="F263" s="136" t="s">
        <v>621</v>
      </c>
      <c r="G263" s="155">
        <f>G262+H262</f>
        <v>3670000</v>
      </c>
    </row>
    <row r="264">
      <c r="A264" s="135"/>
      <c r="B264" s="156"/>
      <c r="C264" s="156"/>
      <c r="D264" s="156"/>
      <c r="E264" s="156"/>
      <c r="F264" s="135"/>
      <c r="G264" s="135"/>
    </row>
    <row r="265">
      <c r="A265" s="135"/>
      <c r="B265" s="156"/>
      <c r="C265" s="156"/>
      <c r="D265" s="156"/>
      <c r="E265" s="156"/>
      <c r="F265" s="135"/>
      <c r="G265" s="135"/>
    </row>
    <row r="266">
      <c r="A266" s="135"/>
      <c r="B266" s="156"/>
      <c r="C266" s="156"/>
      <c r="D266" s="156"/>
      <c r="E266" s="156"/>
      <c r="F266" s="135"/>
      <c r="G266" s="135"/>
    </row>
    <row r="267">
      <c r="A267" s="135"/>
      <c r="B267" s="156"/>
      <c r="C267" s="156"/>
      <c r="D267" s="156"/>
      <c r="E267" s="156"/>
      <c r="F267" s="135"/>
      <c r="G267" s="135"/>
    </row>
    <row r="268">
      <c r="A268" s="135"/>
      <c r="B268" s="156"/>
      <c r="C268" s="156"/>
      <c r="D268" s="156"/>
      <c r="E268" s="156"/>
      <c r="F268" s="135" t="s">
        <v>517</v>
      </c>
      <c r="G268" s="135"/>
    </row>
    <row r="269">
      <c r="A269" s="135"/>
      <c r="B269" s="144"/>
      <c r="C269" s="144"/>
      <c r="D269" s="144"/>
      <c r="E269" s="144"/>
      <c r="F269" s="134" t="s">
        <v>518</v>
      </c>
      <c r="G269" s="135"/>
    </row>
    <row r="270">
      <c r="A270" s="135"/>
      <c r="B270" s="152"/>
      <c r="C270" s="152"/>
      <c r="D270" s="152"/>
      <c r="E270" s="152"/>
      <c r="F270" s="135" t="s">
        <v>519</v>
      </c>
      <c r="G270" s="135"/>
    </row>
    <row r="271">
      <c r="A271" s="135"/>
      <c r="B271" s="157"/>
      <c r="C271" s="157"/>
      <c r="D271" s="157"/>
      <c r="E271" s="157"/>
      <c r="F271" s="135" t="s">
        <v>622</v>
      </c>
      <c r="G271" s="135"/>
    </row>
    <row r="272">
      <c r="A272" s="135"/>
      <c r="B272" s="135"/>
      <c r="C272" s="135"/>
      <c r="D272" s="135"/>
      <c r="E272" s="135"/>
      <c r="F272" s="135"/>
      <c r="G272" s="135"/>
    </row>
    <row r="273">
      <c r="A273" s="135"/>
      <c r="B273" s="135"/>
      <c r="C273" s="135"/>
      <c r="D273" s="135"/>
      <c r="E273" s="135"/>
      <c r="F273" s="135"/>
      <c r="G273" s="135"/>
    </row>
    <row r="274">
      <c r="A274" s="135"/>
      <c r="B274" s="135"/>
      <c r="C274" s="135"/>
      <c r="D274" s="135"/>
      <c r="E274" s="135"/>
      <c r="F274" s="135"/>
      <c r="G274" s="135"/>
    </row>
    <row r="275">
      <c r="A275" s="135"/>
      <c r="B275" s="135"/>
      <c r="C275" s="135"/>
      <c r="D275" s="135"/>
      <c r="E275" s="135"/>
      <c r="F275" s="135"/>
      <c r="G275" s="135"/>
    </row>
    <row r="276">
      <c r="A276" s="135"/>
      <c r="B276" s="135"/>
      <c r="C276" s="135"/>
      <c r="D276" s="135"/>
      <c r="E276" s="135"/>
      <c r="F276" s="135"/>
      <c r="G276" s="135"/>
    </row>
    <row r="277">
      <c r="A277" s="135"/>
      <c r="B277" s="135"/>
      <c r="C277" s="135"/>
      <c r="D277" s="135"/>
      <c r="E277" s="135"/>
      <c r="F277" s="135"/>
      <c r="G277" s="135"/>
    </row>
    <row r="278">
      <c r="A278" s="135"/>
      <c r="B278" s="135"/>
      <c r="C278" s="135"/>
      <c r="D278" s="135"/>
      <c r="E278" s="135"/>
      <c r="F278" s="135"/>
      <c r="G278" s="135"/>
    </row>
    <row r="279">
      <c r="A279" s="135"/>
      <c r="B279" s="135"/>
      <c r="C279" s="135"/>
      <c r="D279" s="135"/>
      <c r="E279" s="135"/>
      <c r="F279" s="135"/>
      <c r="G279" s="135"/>
    </row>
    <row r="280">
      <c r="A280" s="135"/>
      <c r="B280" s="135"/>
      <c r="C280" s="135"/>
      <c r="D280" s="135"/>
      <c r="E280" s="135"/>
      <c r="F280" s="135"/>
      <c r="G280" s="135"/>
    </row>
    <row r="281">
      <c r="A281" s="135"/>
      <c r="B281" s="135"/>
      <c r="C281" s="135"/>
      <c r="D281" s="135"/>
      <c r="E281" s="135"/>
      <c r="F281" s="135"/>
      <c r="G281" s="135"/>
    </row>
    <row r="282">
      <c r="A282" s="135"/>
      <c r="B282" s="135"/>
      <c r="C282" s="135"/>
      <c r="D282" s="135"/>
      <c r="E282" s="135"/>
      <c r="F282" s="135"/>
      <c r="G282" s="135"/>
    </row>
    <row r="283">
      <c r="A283" s="135"/>
      <c r="B283" s="135"/>
      <c r="C283" s="135"/>
      <c r="D283" s="135"/>
      <c r="E283" s="135"/>
      <c r="F283" s="135"/>
      <c r="G283" s="135"/>
    </row>
    <row r="284">
      <c r="A284" s="135"/>
      <c r="B284" s="135"/>
      <c r="C284" s="135"/>
      <c r="D284" s="135"/>
      <c r="E284" s="135"/>
      <c r="F284" s="135"/>
      <c r="G284" s="135"/>
    </row>
    <row r="285">
      <c r="A285" s="135"/>
      <c r="B285" s="135"/>
      <c r="C285" s="135"/>
      <c r="D285" s="135"/>
      <c r="E285" s="135"/>
      <c r="F285" s="135"/>
      <c r="G285" s="135"/>
    </row>
    <row r="286">
      <c r="A286" s="135"/>
      <c r="B286" s="135"/>
      <c r="C286" s="135"/>
      <c r="D286" s="135"/>
      <c r="E286" s="135"/>
      <c r="F286" s="135"/>
      <c r="G286" s="135"/>
    </row>
    <row r="287">
      <c r="A287" s="135"/>
      <c r="B287" s="135"/>
      <c r="C287" s="135"/>
      <c r="D287" s="135"/>
      <c r="E287" s="135"/>
      <c r="F287" s="135"/>
      <c r="G287" s="135"/>
    </row>
    <row r="288">
      <c r="A288" s="135"/>
      <c r="B288" s="135"/>
      <c r="C288" s="135"/>
      <c r="D288" s="135"/>
      <c r="E288" s="135"/>
      <c r="F288" s="135"/>
      <c r="G288" s="135"/>
    </row>
    <row r="289">
      <c r="A289" s="135"/>
      <c r="B289" s="135"/>
      <c r="C289" s="135"/>
      <c r="D289" s="135"/>
      <c r="E289" s="135"/>
      <c r="F289" s="135"/>
      <c r="G289" s="135"/>
    </row>
    <row r="290">
      <c r="A290" s="135"/>
      <c r="B290" s="135"/>
      <c r="C290" s="135"/>
      <c r="D290" s="135"/>
      <c r="E290" s="135"/>
      <c r="F290" s="135"/>
      <c r="G290" s="135"/>
    </row>
    <row r="291">
      <c r="A291" s="135"/>
      <c r="B291" s="135"/>
      <c r="C291" s="135"/>
      <c r="D291" s="135"/>
      <c r="E291" s="135"/>
      <c r="F291" s="135"/>
      <c r="G291" s="135"/>
    </row>
    <row r="292">
      <c r="F292" s="137"/>
      <c r="G292" s="137"/>
    </row>
    <row r="293">
      <c r="F293" s="137"/>
      <c r="G293" s="137"/>
    </row>
    <row r="294">
      <c r="F294" s="137"/>
      <c r="G294" s="137"/>
    </row>
    <row r="295">
      <c r="F295" s="137"/>
      <c r="G295" s="137"/>
    </row>
    <row r="296">
      <c r="F296" s="137"/>
      <c r="G296" s="137"/>
    </row>
    <row r="297">
      <c r="F297" s="137"/>
      <c r="G297" s="137"/>
    </row>
    <row r="298">
      <c r="F298" s="137"/>
      <c r="G298" s="137"/>
    </row>
    <row r="299">
      <c r="F299" s="137"/>
      <c r="G299" s="137"/>
    </row>
    <row r="300">
      <c r="F300" s="137"/>
      <c r="G300" s="137"/>
    </row>
    <row r="301">
      <c r="F301" s="137"/>
      <c r="G301" s="137"/>
    </row>
    <row r="302">
      <c r="F302" s="137"/>
      <c r="G302" s="137"/>
    </row>
    <row r="303">
      <c r="F303" s="137"/>
      <c r="G303" s="137"/>
    </row>
    <row r="304">
      <c r="F304" s="137"/>
      <c r="G304" s="137"/>
    </row>
    <row r="305">
      <c r="F305" s="137"/>
      <c r="G305" s="137"/>
    </row>
    <row r="306">
      <c r="F306" s="137"/>
      <c r="G306" s="137"/>
    </row>
    <row r="307">
      <c r="F307" s="137"/>
      <c r="G307" s="137"/>
    </row>
    <row r="308">
      <c r="F308" s="137"/>
      <c r="G308" s="137"/>
    </row>
    <row r="309">
      <c r="F309" s="137"/>
      <c r="G309" s="137"/>
    </row>
    <row r="310">
      <c r="F310" s="137"/>
      <c r="G310" s="137"/>
    </row>
    <row r="311">
      <c r="F311" s="137"/>
      <c r="G311" s="137"/>
    </row>
    <row r="312">
      <c r="F312" s="137"/>
      <c r="G312" s="137"/>
    </row>
    <row r="313">
      <c r="F313" s="137"/>
      <c r="G313" s="137"/>
    </row>
    <row r="314">
      <c r="F314" s="137"/>
      <c r="G314" s="137"/>
    </row>
    <row r="315">
      <c r="F315" s="137"/>
      <c r="G315" s="137"/>
    </row>
    <row r="316">
      <c r="F316" s="137"/>
      <c r="G316" s="137"/>
    </row>
    <row r="317">
      <c r="F317" s="137"/>
      <c r="G317" s="137"/>
    </row>
    <row r="318">
      <c r="F318" s="137"/>
      <c r="G318" s="137"/>
    </row>
    <row r="319">
      <c r="F319" s="137"/>
      <c r="G319" s="137"/>
    </row>
    <row r="320">
      <c r="F320" s="137"/>
      <c r="G320" s="137"/>
    </row>
    <row r="321">
      <c r="F321" s="137"/>
      <c r="G321" s="137"/>
    </row>
    <row r="322">
      <c r="F322" s="137"/>
      <c r="G322" s="137"/>
    </row>
    <row r="323">
      <c r="F323" s="137"/>
      <c r="G323" s="137"/>
    </row>
    <row r="324">
      <c r="F324" s="137"/>
      <c r="G324" s="137"/>
    </row>
    <row r="325">
      <c r="F325" s="137"/>
      <c r="G325" s="137"/>
    </row>
    <row r="326">
      <c r="F326" s="137"/>
      <c r="G326" s="137"/>
    </row>
    <row r="327">
      <c r="F327" s="137"/>
      <c r="G327" s="137"/>
    </row>
    <row r="328">
      <c r="F328" s="137"/>
      <c r="G328" s="137"/>
    </row>
    <row r="329">
      <c r="F329" s="137"/>
      <c r="G329" s="137"/>
    </row>
    <row r="330">
      <c r="F330" s="137"/>
      <c r="G330" s="137"/>
    </row>
    <row r="331">
      <c r="F331" s="137"/>
      <c r="G331" s="137"/>
    </row>
    <row r="332">
      <c r="F332" s="137"/>
      <c r="G332" s="137"/>
    </row>
    <row r="333">
      <c r="F333" s="137"/>
      <c r="G333" s="137"/>
    </row>
    <row r="334">
      <c r="F334" s="137"/>
      <c r="G334" s="137"/>
    </row>
    <row r="335">
      <c r="F335" s="137"/>
      <c r="G335" s="137"/>
    </row>
    <row r="336">
      <c r="F336" s="137"/>
      <c r="G336" s="137"/>
    </row>
    <row r="337">
      <c r="F337" s="137"/>
      <c r="G337" s="137"/>
    </row>
    <row r="338">
      <c r="F338" s="137"/>
      <c r="G338" s="137"/>
    </row>
    <row r="339">
      <c r="F339" s="137"/>
      <c r="G339" s="137"/>
    </row>
    <row r="340">
      <c r="F340" s="137"/>
      <c r="G340" s="137"/>
    </row>
    <row r="341">
      <c r="F341" s="137"/>
      <c r="G341" s="137"/>
    </row>
    <row r="342">
      <c r="F342" s="137"/>
      <c r="G342" s="137"/>
    </row>
    <row r="343">
      <c r="F343" s="137"/>
      <c r="G343" s="137"/>
    </row>
    <row r="344">
      <c r="F344" s="137"/>
      <c r="G344" s="137"/>
    </row>
    <row r="345">
      <c r="F345" s="137"/>
      <c r="G345" s="137"/>
    </row>
    <row r="346">
      <c r="F346" s="137"/>
      <c r="G346" s="137"/>
    </row>
    <row r="347">
      <c r="F347" s="137"/>
      <c r="G347" s="137"/>
    </row>
    <row r="348">
      <c r="F348" s="137"/>
      <c r="G348" s="137"/>
    </row>
    <row r="349">
      <c r="F349" s="137"/>
      <c r="G349" s="137"/>
    </row>
    <row r="350">
      <c r="F350" s="137"/>
      <c r="G350" s="137"/>
    </row>
    <row r="351">
      <c r="F351" s="137"/>
      <c r="G351" s="137"/>
    </row>
    <row r="352">
      <c r="F352" s="137"/>
      <c r="G352" s="137"/>
    </row>
    <row r="353">
      <c r="F353" s="137"/>
      <c r="G353" s="137"/>
    </row>
    <row r="354">
      <c r="F354" s="137"/>
      <c r="G354" s="137"/>
    </row>
    <row r="355">
      <c r="F355" s="137"/>
      <c r="G355" s="137"/>
    </row>
    <row r="356">
      <c r="F356" s="137"/>
      <c r="G356" s="137"/>
    </row>
    <row r="357">
      <c r="F357" s="137"/>
      <c r="G357" s="137"/>
    </row>
    <row r="358">
      <c r="F358" s="137"/>
      <c r="G358" s="137"/>
    </row>
    <row r="359">
      <c r="F359" s="137"/>
      <c r="G359" s="137"/>
    </row>
    <row r="360">
      <c r="F360" s="137"/>
      <c r="G360" s="137"/>
    </row>
    <row r="361">
      <c r="F361" s="137"/>
      <c r="G361" s="137"/>
    </row>
    <row r="362">
      <c r="F362" s="137"/>
      <c r="G362" s="137"/>
    </row>
    <row r="363">
      <c r="F363" s="137"/>
      <c r="G363" s="137"/>
    </row>
    <row r="364">
      <c r="F364" s="137"/>
      <c r="G364" s="137"/>
    </row>
    <row r="365">
      <c r="F365" s="137"/>
      <c r="G365" s="137"/>
    </row>
    <row r="366">
      <c r="F366" s="137"/>
      <c r="G366" s="137"/>
    </row>
    <row r="367">
      <c r="F367" s="137"/>
      <c r="G367" s="137"/>
    </row>
    <row r="368">
      <c r="F368" s="137"/>
      <c r="G368" s="137"/>
    </row>
    <row r="369">
      <c r="F369" s="137"/>
      <c r="G369" s="137"/>
    </row>
    <row r="370">
      <c r="F370" s="137"/>
      <c r="G370" s="137"/>
    </row>
    <row r="371">
      <c r="F371" s="137"/>
      <c r="G371" s="137"/>
    </row>
    <row r="372">
      <c r="F372" s="137"/>
      <c r="G372" s="137"/>
    </row>
    <row r="373">
      <c r="F373" s="137"/>
      <c r="G373" s="137"/>
    </row>
    <row r="374">
      <c r="F374" s="137"/>
      <c r="G374" s="137"/>
    </row>
    <row r="375">
      <c r="F375" s="137"/>
      <c r="G375" s="137"/>
    </row>
    <row r="376">
      <c r="F376" s="137"/>
      <c r="G376" s="137"/>
    </row>
    <row r="377">
      <c r="F377" s="137"/>
      <c r="G377" s="137"/>
    </row>
    <row r="378">
      <c r="F378" s="137"/>
      <c r="G378" s="137"/>
    </row>
    <row r="379">
      <c r="F379" s="137"/>
      <c r="G379" s="137"/>
    </row>
    <row r="380">
      <c r="F380" s="137"/>
      <c r="G380" s="137"/>
    </row>
    <row r="381">
      <c r="F381" s="137"/>
      <c r="G381" s="137"/>
    </row>
    <row r="382">
      <c r="F382" s="137"/>
      <c r="G382" s="137"/>
    </row>
    <row r="383">
      <c r="F383" s="137"/>
      <c r="G383" s="137"/>
    </row>
    <row r="384">
      <c r="F384" s="137"/>
      <c r="G384" s="137"/>
    </row>
    <row r="385">
      <c r="F385" s="137"/>
      <c r="G385" s="137"/>
    </row>
    <row r="386">
      <c r="F386" s="137"/>
      <c r="G386" s="137"/>
    </row>
    <row r="387">
      <c r="F387" s="137"/>
      <c r="G387" s="137"/>
    </row>
    <row r="388">
      <c r="F388" s="137"/>
      <c r="G388" s="137"/>
    </row>
    <row r="389">
      <c r="F389" s="137"/>
      <c r="G389" s="137"/>
    </row>
    <row r="390">
      <c r="F390" s="137"/>
      <c r="G390" s="137"/>
    </row>
    <row r="391">
      <c r="F391" s="137"/>
      <c r="G391" s="137"/>
    </row>
    <row r="392">
      <c r="F392" s="137"/>
      <c r="G392" s="137"/>
    </row>
    <row r="393">
      <c r="F393" s="137"/>
      <c r="G393" s="137"/>
    </row>
    <row r="394">
      <c r="F394" s="137"/>
      <c r="G394" s="137"/>
    </row>
    <row r="395">
      <c r="F395" s="137"/>
      <c r="G395" s="137"/>
    </row>
    <row r="396">
      <c r="F396" s="137"/>
      <c r="G396" s="137"/>
    </row>
    <row r="397">
      <c r="F397" s="137"/>
      <c r="G397" s="137"/>
    </row>
    <row r="398">
      <c r="F398" s="137"/>
      <c r="G398" s="137"/>
    </row>
    <row r="399">
      <c r="F399" s="137"/>
      <c r="G399" s="137"/>
    </row>
    <row r="400">
      <c r="F400" s="137"/>
      <c r="G400" s="137"/>
    </row>
    <row r="401">
      <c r="F401" s="137"/>
      <c r="G401" s="137"/>
    </row>
    <row r="402">
      <c r="F402" s="137"/>
      <c r="G402" s="137"/>
    </row>
    <row r="403">
      <c r="F403" s="137"/>
      <c r="G403" s="137"/>
    </row>
    <row r="404">
      <c r="F404" s="137"/>
      <c r="G404" s="137"/>
    </row>
    <row r="405">
      <c r="F405" s="137"/>
      <c r="G405" s="137"/>
    </row>
    <row r="406">
      <c r="F406" s="137"/>
      <c r="G406" s="137"/>
    </row>
    <row r="407">
      <c r="F407" s="137"/>
      <c r="G407" s="137"/>
    </row>
    <row r="408">
      <c r="F408" s="137"/>
      <c r="G408" s="137"/>
    </row>
    <row r="409">
      <c r="F409" s="137"/>
      <c r="G409" s="137"/>
    </row>
    <row r="410">
      <c r="F410" s="137"/>
      <c r="G410" s="137"/>
    </row>
    <row r="411">
      <c r="F411" s="137"/>
      <c r="G411" s="137"/>
    </row>
    <row r="412">
      <c r="F412" s="137"/>
      <c r="G412" s="137"/>
    </row>
    <row r="413">
      <c r="F413" s="137"/>
      <c r="G413" s="137"/>
    </row>
    <row r="414">
      <c r="F414" s="137"/>
      <c r="G414" s="137"/>
    </row>
    <row r="415">
      <c r="F415" s="137"/>
      <c r="G415" s="137"/>
    </row>
    <row r="416">
      <c r="F416" s="137"/>
      <c r="G416" s="137"/>
    </row>
    <row r="417">
      <c r="F417" s="137"/>
      <c r="G417" s="137"/>
    </row>
    <row r="418">
      <c r="F418" s="137"/>
      <c r="G418" s="137"/>
    </row>
    <row r="419">
      <c r="F419" s="137"/>
      <c r="G419" s="137"/>
    </row>
    <row r="420">
      <c r="F420" s="137"/>
      <c r="G420" s="137"/>
    </row>
    <row r="421">
      <c r="F421" s="137"/>
      <c r="G421" s="137"/>
    </row>
    <row r="422">
      <c r="F422" s="137"/>
      <c r="G422" s="137"/>
    </row>
    <row r="423">
      <c r="F423" s="137"/>
      <c r="G423" s="137"/>
    </row>
    <row r="424">
      <c r="F424" s="137"/>
      <c r="G424" s="137"/>
    </row>
    <row r="425">
      <c r="F425" s="137"/>
      <c r="G425" s="137"/>
    </row>
    <row r="426">
      <c r="F426" s="137"/>
      <c r="G426" s="137"/>
    </row>
    <row r="427">
      <c r="F427" s="137"/>
      <c r="G427" s="137"/>
    </row>
    <row r="428">
      <c r="F428" s="137"/>
      <c r="G428" s="137"/>
    </row>
    <row r="429">
      <c r="F429" s="137"/>
      <c r="G429" s="137"/>
    </row>
    <row r="430">
      <c r="F430" s="137"/>
      <c r="G430" s="137"/>
    </row>
    <row r="431">
      <c r="F431" s="137"/>
      <c r="G431" s="137"/>
    </row>
    <row r="432">
      <c r="F432" s="137"/>
      <c r="G432" s="137"/>
    </row>
    <row r="433">
      <c r="F433" s="137"/>
      <c r="G433" s="137"/>
    </row>
    <row r="434">
      <c r="F434" s="137"/>
      <c r="G434" s="137"/>
    </row>
    <row r="435">
      <c r="F435" s="137"/>
      <c r="G435" s="137"/>
    </row>
    <row r="436">
      <c r="F436" s="137"/>
      <c r="G436" s="137"/>
    </row>
    <row r="437">
      <c r="F437" s="137"/>
      <c r="G437" s="137"/>
    </row>
    <row r="438">
      <c r="F438" s="137"/>
      <c r="G438" s="137"/>
    </row>
    <row r="439">
      <c r="F439" s="137"/>
      <c r="G439" s="137"/>
    </row>
    <row r="440">
      <c r="F440" s="137"/>
      <c r="G440" s="137"/>
    </row>
    <row r="441">
      <c r="F441" s="137"/>
      <c r="G441" s="137"/>
    </row>
    <row r="442">
      <c r="F442" s="137"/>
      <c r="G442" s="137"/>
    </row>
    <row r="443">
      <c r="F443" s="137"/>
      <c r="G443" s="137"/>
    </row>
    <row r="444">
      <c r="F444" s="137"/>
      <c r="G444" s="137"/>
    </row>
    <row r="445">
      <c r="F445" s="137"/>
      <c r="G445" s="137"/>
    </row>
    <row r="446">
      <c r="F446" s="137"/>
      <c r="G446" s="137"/>
    </row>
    <row r="447">
      <c r="F447" s="137"/>
      <c r="G447" s="137"/>
    </row>
    <row r="448">
      <c r="F448" s="137"/>
      <c r="G448" s="137"/>
    </row>
    <row r="449">
      <c r="F449" s="137"/>
      <c r="G449" s="137"/>
    </row>
    <row r="450">
      <c r="F450" s="137"/>
      <c r="G450" s="137"/>
    </row>
    <row r="451">
      <c r="F451" s="137"/>
      <c r="G451" s="137"/>
    </row>
    <row r="452">
      <c r="F452" s="137"/>
      <c r="G452" s="137"/>
    </row>
    <row r="453">
      <c r="F453" s="137"/>
      <c r="G453" s="137"/>
    </row>
    <row r="454">
      <c r="F454" s="137"/>
      <c r="G454" s="137"/>
    </row>
    <row r="455">
      <c r="F455" s="137"/>
      <c r="G455" s="137"/>
    </row>
    <row r="456">
      <c r="F456" s="137"/>
      <c r="G456" s="137"/>
    </row>
    <row r="457">
      <c r="F457" s="137"/>
      <c r="G457" s="137"/>
    </row>
    <row r="458">
      <c r="F458" s="137"/>
      <c r="G458" s="137"/>
    </row>
    <row r="459">
      <c r="F459" s="137"/>
      <c r="G459" s="137"/>
    </row>
    <row r="460">
      <c r="F460" s="137"/>
      <c r="G460" s="137"/>
    </row>
    <row r="461">
      <c r="F461" s="137"/>
      <c r="G461" s="137"/>
    </row>
    <row r="462">
      <c r="F462" s="137"/>
      <c r="G462" s="137"/>
    </row>
    <row r="463">
      <c r="F463" s="137"/>
      <c r="G463" s="137"/>
    </row>
    <row r="464">
      <c r="F464" s="137"/>
      <c r="G464" s="137"/>
    </row>
    <row r="465">
      <c r="F465" s="137"/>
      <c r="G465" s="137"/>
    </row>
    <row r="466">
      <c r="F466" s="137"/>
      <c r="G466" s="137"/>
    </row>
    <row r="467">
      <c r="F467" s="137"/>
      <c r="G467" s="137"/>
    </row>
    <row r="468">
      <c r="F468" s="137"/>
      <c r="G468" s="137"/>
    </row>
    <row r="469">
      <c r="F469" s="137"/>
      <c r="G469" s="137"/>
    </row>
    <row r="470">
      <c r="F470" s="137"/>
      <c r="G470" s="137"/>
    </row>
    <row r="471">
      <c r="F471" s="137"/>
      <c r="G471" s="137"/>
    </row>
    <row r="472">
      <c r="F472" s="137"/>
      <c r="G472" s="137"/>
    </row>
    <row r="473">
      <c r="F473" s="137"/>
      <c r="G473" s="137"/>
    </row>
    <row r="474">
      <c r="F474" s="137"/>
      <c r="G474" s="137"/>
    </row>
    <row r="475">
      <c r="F475" s="137"/>
      <c r="G475" s="137"/>
    </row>
    <row r="476">
      <c r="F476" s="137"/>
      <c r="G476" s="137"/>
    </row>
    <row r="477">
      <c r="F477" s="137"/>
      <c r="G477" s="137"/>
    </row>
    <row r="478">
      <c r="F478" s="137"/>
      <c r="G478" s="137"/>
    </row>
    <row r="479">
      <c r="F479" s="137"/>
      <c r="G479" s="137"/>
    </row>
    <row r="480">
      <c r="F480" s="137"/>
      <c r="G480" s="137"/>
    </row>
    <row r="481">
      <c r="F481" s="137"/>
      <c r="G481" s="137"/>
    </row>
    <row r="482">
      <c r="F482" s="137"/>
      <c r="G482" s="137"/>
    </row>
    <row r="483">
      <c r="F483" s="137"/>
      <c r="G483" s="137"/>
    </row>
    <row r="484">
      <c r="F484" s="137"/>
      <c r="G484" s="137"/>
    </row>
    <row r="485">
      <c r="F485" s="137"/>
      <c r="G485" s="137"/>
    </row>
    <row r="486">
      <c r="F486" s="137"/>
      <c r="G486" s="137"/>
    </row>
    <row r="487">
      <c r="F487" s="137"/>
      <c r="G487" s="137"/>
    </row>
    <row r="488">
      <c r="F488" s="137"/>
      <c r="G488" s="137"/>
    </row>
    <row r="489">
      <c r="F489" s="137"/>
      <c r="G489" s="137"/>
    </row>
    <row r="490">
      <c r="F490" s="137"/>
      <c r="G490" s="137"/>
    </row>
    <row r="491">
      <c r="F491" s="137"/>
      <c r="G491" s="137"/>
    </row>
    <row r="492">
      <c r="F492" s="137"/>
      <c r="G492" s="137"/>
    </row>
    <row r="493">
      <c r="F493" s="137"/>
      <c r="G493" s="137"/>
    </row>
    <row r="494">
      <c r="F494" s="137"/>
      <c r="G494" s="137"/>
    </row>
    <row r="495">
      <c r="F495" s="137"/>
      <c r="G495" s="137"/>
    </row>
    <row r="496">
      <c r="F496" s="137"/>
      <c r="G496" s="137"/>
    </row>
    <row r="497">
      <c r="F497" s="137"/>
      <c r="G497" s="137"/>
    </row>
    <row r="498">
      <c r="F498" s="137"/>
      <c r="G498" s="137"/>
    </row>
    <row r="499">
      <c r="F499" s="137"/>
      <c r="G499" s="137"/>
    </row>
    <row r="500">
      <c r="F500" s="137"/>
      <c r="G500" s="137"/>
    </row>
    <row r="501">
      <c r="F501" s="137"/>
      <c r="G501" s="137"/>
    </row>
    <row r="502">
      <c r="F502" s="137"/>
      <c r="G502" s="137"/>
    </row>
    <row r="503">
      <c r="F503" s="137"/>
      <c r="G503" s="137"/>
    </row>
    <row r="504">
      <c r="F504" s="137"/>
      <c r="G504" s="137"/>
    </row>
    <row r="505">
      <c r="F505" s="137"/>
      <c r="G505" s="137"/>
    </row>
    <row r="506">
      <c r="F506" s="137"/>
      <c r="G506" s="137"/>
    </row>
    <row r="507">
      <c r="F507" s="137"/>
      <c r="G507" s="137"/>
    </row>
    <row r="508">
      <c r="F508" s="137"/>
      <c r="G508" s="137"/>
    </row>
    <row r="509">
      <c r="F509" s="137"/>
      <c r="G509" s="137"/>
    </row>
    <row r="510">
      <c r="F510" s="137"/>
      <c r="G510" s="137"/>
    </row>
    <row r="511">
      <c r="F511" s="137"/>
      <c r="G511" s="137"/>
    </row>
    <row r="512">
      <c r="F512" s="137"/>
      <c r="G512" s="137"/>
    </row>
    <row r="513">
      <c r="F513" s="137"/>
      <c r="G513" s="137"/>
    </row>
    <row r="514">
      <c r="F514" s="137"/>
      <c r="G514" s="137"/>
    </row>
    <row r="515">
      <c r="F515" s="137"/>
      <c r="G515" s="137"/>
    </row>
    <row r="516">
      <c r="F516" s="137"/>
      <c r="G516" s="137"/>
    </row>
    <row r="517">
      <c r="F517" s="137"/>
      <c r="G517" s="137"/>
    </row>
    <row r="518">
      <c r="F518" s="137"/>
      <c r="G518" s="137"/>
    </row>
    <row r="519">
      <c r="F519" s="137"/>
      <c r="G519" s="137"/>
    </row>
    <row r="520">
      <c r="F520" s="137"/>
      <c r="G520" s="137"/>
    </row>
    <row r="521">
      <c r="F521" s="137"/>
      <c r="G521" s="137"/>
    </row>
    <row r="522">
      <c r="F522" s="137"/>
      <c r="G522" s="137"/>
    </row>
    <row r="523">
      <c r="F523" s="137"/>
      <c r="G523" s="137"/>
    </row>
    <row r="524">
      <c r="F524" s="137"/>
      <c r="G524" s="137"/>
    </row>
    <row r="525">
      <c r="F525" s="137"/>
      <c r="G525" s="137"/>
    </row>
    <row r="526">
      <c r="F526" s="137"/>
      <c r="G526" s="137"/>
    </row>
    <row r="527">
      <c r="F527" s="137"/>
      <c r="G527" s="137"/>
    </row>
    <row r="528">
      <c r="F528" s="137"/>
      <c r="G528" s="137"/>
    </row>
    <row r="529">
      <c r="F529" s="137"/>
      <c r="G529" s="137"/>
    </row>
    <row r="530">
      <c r="F530" s="137"/>
      <c r="G530" s="137"/>
    </row>
    <row r="531">
      <c r="F531" s="137"/>
      <c r="G531" s="137"/>
    </row>
    <row r="532">
      <c r="F532" s="137"/>
      <c r="G532" s="137"/>
    </row>
    <row r="533">
      <c r="F533" s="137"/>
      <c r="G533" s="137"/>
    </row>
    <row r="534">
      <c r="F534" s="137"/>
      <c r="G534" s="137"/>
    </row>
    <row r="535">
      <c r="F535" s="137"/>
      <c r="G535" s="137"/>
    </row>
    <row r="536">
      <c r="F536" s="137"/>
      <c r="G536" s="137"/>
    </row>
    <row r="537">
      <c r="F537" s="137"/>
      <c r="G537" s="137"/>
    </row>
    <row r="538">
      <c r="F538" s="137"/>
      <c r="G538" s="137"/>
    </row>
    <row r="539">
      <c r="F539" s="137"/>
      <c r="G539" s="137"/>
    </row>
    <row r="540">
      <c r="F540" s="137"/>
      <c r="G540" s="137"/>
    </row>
    <row r="541">
      <c r="F541" s="137"/>
      <c r="G541" s="137"/>
    </row>
    <row r="542">
      <c r="F542" s="137"/>
      <c r="G542" s="137"/>
    </row>
    <row r="543">
      <c r="F543" s="137"/>
      <c r="G543" s="137"/>
    </row>
    <row r="544">
      <c r="F544" s="137"/>
      <c r="G544" s="137"/>
    </row>
    <row r="545">
      <c r="F545" s="137"/>
      <c r="G545" s="137"/>
    </row>
    <row r="546">
      <c r="F546" s="137"/>
      <c r="G546" s="137"/>
    </row>
    <row r="547">
      <c r="F547" s="137"/>
      <c r="G547" s="137"/>
    </row>
    <row r="548">
      <c r="F548" s="137"/>
      <c r="G548" s="137"/>
    </row>
    <row r="549">
      <c r="F549" s="137"/>
      <c r="G549" s="137"/>
    </row>
    <row r="550">
      <c r="F550" s="137"/>
      <c r="G550" s="137"/>
    </row>
    <row r="551">
      <c r="F551" s="137"/>
      <c r="G551" s="137"/>
    </row>
    <row r="552">
      <c r="F552" s="137"/>
      <c r="G552" s="137"/>
    </row>
    <row r="553">
      <c r="F553" s="137"/>
      <c r="G553" s="137"/>
    </row>
    <row r="554">
      <c r="F554" s="137"/>
      <c r="G554" s="137"/>
    </row>
    <row r="555">
      <c r="F555" s="137"/>
      <c r="G555" s="137"/>
    </row>
    <row r="556">
      <c r="F556" s="137"/>
      <c r="G556" s="137"/>
    </row>
    <row r="557">
      <c r="F557" s="137"/>
      <c r="G557" s="137"/>
    </row>
    <row r="558">
      <c r="F558" s="137"/>
      <c r="G558" s="137"/>
    </row>
    <row r="559">
      <c r="F559" s="137"/>
      <c r="G559" s="137"/>
    </row>
    <row r="560">
      <c r="F560" s="137"/>
      <c r="G560" s="137"/>
    </row>
    <row r="561">
      <c r="F561" s="137"/>
      <c r="G561" s="137"/>
    </row>
    <row r="562">
      <c r="F562" s="137"/>
      <c r="G562" s="137"/>
    </row>
    <row r="563">
      <c r="F563" s="137"/>
      <c r="G563" s="137"/>
    </row>
    <row r="564">
      <c r="F564" s="137"/>
      <c r="G564" s="137"/>
    </row>
    <row r="565">
      <c r="F565" s="137"/>
      <c r="G565" s="137"/>
    </row>
    <row r="566">
      <c r="F566" s="137"/>
      <c r="G566" s="137"/>
    </row>
    <row r="567">
      <c r="F567" s="137"/>
      <c r="G567" s="137"/>
    </row>
    <row r="568">
      <c r="F568" s="137"/>
      <c r="G568" s="137"/>
    </row>
    <row r="569">
      <c r="F569" s="137"/>
      <c r="G569" s="137"/>
    </row>
    <row r="570">
      <c r="F570" s="137"/>
      <c r="G570" s="137"/>
    </row>
    <row r="571">
      <c r="F571" s="137"/>
      <c r="G571" s="137"/>
    </row>
    <row r="572">
      <c r="F572" s="137"/>
      <c r="G572" s="137"/>
    </row>
    <row r="573">
      <c r="F573" s="137"/>
      <c r="G573" s="137"/>
    </row>
    <row r="574">
      <c r="F574" s="137"/>
      <c r="G574" s="137"/>
    </row>
    <row r="575">
      <c r="F575" s="137"/>
      <c r="G575" s="137"/>
    </row>
    <row r="576">
      <c r="F576" s="137"/>
      <c r="G576" s="137"/>
    </row>
    <row r="577">
      <c r="F577" s="137"/>
      <c r="G577" s="137"/>
    </row>
    <row r="578">
      <c r="F578" s="137"/>
      <c r="G578" s="137"/>
    </row>
    <row r="579">
      <c r="F579" s="137"/>
      <c r="G579" s="137"/>
    </row>
    <row r="580">
      <c r="F580" s="137"/>
      <c r="G580" s="137"/>
    </row>
    <row r="581">
      <c r="F581" s="137"/>
      <c r="G581" s="137"/>
    </row>
    <row r="582">
      <c r="F582" s="137"/>
      <c r="G582" s="137"/>
    </row>
    <row r="583">
      <c r="F583" s="137"/>
      <c r="G583" s="137"/>
    </row>
    <row r="584">
      <c r="F584" s="137"/>
      <c r="G584" s="137"/>
    </row>
    <row r="585">
      <c r="F585" s="137"/>
      <c r="G585" s="137"/>
    </row>
    <row r="586">
      <c r="F586" s="137"/>
      <c r="G586" s="137"/>
    </row>
    <row r="587">
      <c r="F587" s="137"/>
      <c r="G587" s="137"/>
    </row>
    <row r="588">
      <c r="F588" s="137"/>
      <c r="G588" s="137"/>
    </row>
    <row r="589">
      <c r="F589" s="137"/>
      <c r="G589" s="137"/>
    </row>
    <row r="590">
      <c r="F590" s="137"/>
      <c r="G590" s="137"/>
    </row>
    <row r="591">
      <c r="F591" s="137"/>
      <c r="G591" s="137"/>
    </row>
    <row r="592">
      <c r="F592" s="137"/>
      <c r="G592" s="137"/>
    </row>
    <row r="593">
      <c r="F593" s="137"/>
      <c r="G593" s="137"/>
    </row>
    <row r="594">
      <c r="F594" s="137"/>
      <c r="G594" s="137"/>
    </row>
    <row r="595">
      <c r="F595" s="137"/>
      <c r="G595" s="137"/>
    </row>
    <row r="596">
      <c r="F596" s="137"/>
      <c r="G596" s="137"/>
    </row>
    <row r="597">
      <c r="F597" s="137"/>
      <c r="G597" s="137"/>
    </row>
    <row r="598">
      <c r="F598" s="137"/>
      <c r="G598" s="137"/>
    </row>
    <row r="599">
      <c r="F599" s="137"/>
      <c r="G599" s="137"/>
    </row>
    <row r="600">
      <c r="F600" s="137"/>
      <c r="G600" s="137"/>
    </row>
    <row r="601">
      <c r="F601" s="137"/>
      <c r="G601" s="137"/>
    </row>
    <row r="602">
      <c r="F602" s="137"/>
      <c r="G602" s="137"/>
    </row>
    <row r="603">
      <c r="F603" s="137"/>
      <c r="G603" s="137"/>
    </row>
    <row r="604">
      <c r="F604" s="137"/>
      <c r="G604" s="137"/>
    </row>
    <row r="605">
      <c r="F605" s="137"/>
      <c r="G605" s="137"/>
    </row>
    <row r="606">
      <c r="F606" s="137"/>
      <c r="G606" s="137"/>
    </row>
    <row r="607">
      <c r="F607" s="137"/>
      <c r="G607" s="137"/>
    </row>
    <row r="608">
      <c r="F608" s="137"/>
      <c r="G608" s="137"/>
    </row>
    <row r="609">
      <c r="F609" s="137"/>
      <c r="G609" s="137"/>
    </row>
    <row r="610">
      <c r="F610" s="137"/>
      <c r="G610" s="137"/>
    </row>
    <row r="611">
      <c r="F611" s="137"/>
      <c r="G611" s="137"/>
    </row>
    <row r="612">
      <c r="F612" s="137"/>
      <c r="G612" s="137"/>
    </row>
    <row r="613">
      <c r="F613" s="137"/>
      <c r="G613" s="137"/>
    </row>
    <row r="614">
      <c r="F614" s="137"/>
      <c r="G614" s="137"/>
    </row>
    <row r="615">
      <c r="F615" s="137"/>
      <c r="G615" s="137"/>
    </row>
    <row r="616">
      <c r="F616" s="137"/>
      <c r="G616" s="137"/>
    </row>
    <row r="617">
      <c r="F617" s="137"/>
      <c r="G617" s="137"/>
    </row>
    <row r="618">
      <c r="F618" s="137"/>
      <c r="G618" s="137"/>
    </row>
    <row r="619">
      <c r="F619" s="137"/>
      <c r="G619" s="137"/>
    </row>
    <row r="620">
      <c r="F620" s="137"/>
      <c r="G620" s="137"/>
    </row>
    <row r="621">
      <c r="F621" s="137"/>
      <c r="G621" s="137"/>
    </row>
    <row r="622">
      <c r="F622" s="137"/>
      <c r="G622" s="137"/>
    </row>
    <row r="623">
      <c r="F623" s="137"/>
      <c r="G623" s="137"/>
    </row>
    <row r="624">
      <c r="F624" s="137"/>
      <c r="G624" s="137"/>
    </row>
    <row r="625">
      <c r="F625" s="137"/>
      <c r="G625" s="137"/>
    </row>
    <row r="626">
      <c r="F626" s="137"/>
      <c r="G626" s="137"/>
    </row>
    <row r="627">
      <c r="F627" s="137"/>
      <c r="G627" s="137"/>
    </row>
    <row r="628">
      <c r="F628" s="137"/>
      <c r="G628" s="137"/>
    </row>
    <row r="629">
      <c r="F629" s="137"/>
      <c r="G629" s="137"/>
    </row>
    <row r="630">
      <c r="F630" s="137"/>
      <c r="G630" s="137"/>
    </row>
    <row r="631">
      <c r="F631" s="137"/>
      <c r="G631" s="137"/>
    </row>
    <row r="632">
      <c r="F632" s="137"/>
      <c r="G632" s="137"/>
    </row>
    <row r="633">
      <c r="F633" s="137"/>
      <c r="G633" s="137"/>
    </row>
    <row r="634">
      <c r="F634" s="137"/>
      <c r="G634" s="137"/>
    </row>
    <row r="635">
      <c r="F635" s="137"/>
      <c r="G635" s="137"/>
    </row>
    <row r="636">
      <c r="F636" s="137"/>
      <c r="G636" s="137"/>
    </row>
    <row r="637">
      <c r="F637" s="137"/>
      <c r="G637" s="137"/>
    </row>
    <row r="638">
      <c r="F638" s="137"/>
      <c r="G638" s="137"/>
    </row>
    <row r="639">
      <c r="F639" s="137"/>
      <c r="G639" s="137"/>
    </row>
    <row r="640">
      <c r="F640" s="137"/>
      <c r="G640" s="137"/>
    </row>
    <row r="641">
      <c r="F641" s="137"/>
      <c r="G641" s="137"/>
    </row>
    <row r="642">
      <c r="F642" s="137"/>
      <c r="G642" s="137"/>
    </row>
    <row r="643">
      <c r="F643" s="137"/>
      <c r="G643" s="137"/>
    </row>
    <row r="644">
      <c r="F644" s="137"/>
      <c r="G644" s="137"/>
    </row>
    <row r="645">
      <c r="F645" s="137"/>
      <c r="G645" s="137"/>
    </row>
    <row r="646">
      <c r="F646" s="137"/>
      <c r="G646" s="137"/>
    </row>
    <row r="647">
      <c r="F647" s="137"/>
      <c r="G647" s="137"/>
    </row>
    <row r="648">
      <c r="F648" s="137"/>
      <c r="G648" s="137"/>
    </row>
    <row r="649">
      <c r="F649" s="137"/>
      <c r="G649" s="137"/>
    </row>
    <row r="650">
      <c r="F650" s="137"/>
      <c r="G650" s="137"/>
    </row>
    <row r="651">
      <c r="F651" s="137"/>
      <c r="G651" s="137"/>
    </row>
    <row r="652">
      <c r="F652" s="137"/>
      <c r="G652" s="137"/>
    </row>
    <row r="653">
      <c r="F653" s="137"/>
      <c r="G653" s="137"/>
    </row>
    <row r="654">
      <c r="F654" s="137"/>
      <c r="G654" s="137"/>
    </row>
    <row r="655">
      <c r="F655" s="137"/>
      <c r="G655" s="137"/>
    </row>
    <row r="656">
      <c r="F656" s="137"/>
      <c r="G656" s="137"/>
    </row>
    <row r="657">
      <c r="F657" s="137"/>
      <c r="G657" s="137"/>
    </row>
    <row r="658">
      <c r="F658" s="137"/>
      <c r="G658" s="137"/>
    </row>
    <row r="659">
      <c r="F659" s="137"/>
      <c r="G659" s="137"/>
    </row>
    <row r="660">
      <c r="F660" s="137"/>
      <c r="G660" s="137"/>
    </row>
    <row r="661">
      <c r="F661" s="137"/>
      <c r="G661" s="137"/>
    </row>
    <row r="662">
      <c r="F662" s="137"/>
      <c r="G662" s="137"/>
    </row>
    <row r="663">
      <c r="F663" s="137"/>
      <c r="G663" s="137"/>
    </row>
    <row r="664">
      <c r="F664" s="137"/>
      <c r="G664" s="137"/>
    </row>
    <row r="665">
      <c r="F665" s="137"/>
      <c r="G665" s="137"/>
    </row>
    <row r="666">
      <c r="F666" s="137"/>
      <c r="G666" s="137"/>
    </row>
    <row r="667">
      <c r="F667" s="137"/>
      <c r="G667" s="137"/>
    </row>
    <row r="668">
      <c r="F668" s="137"/>
      <c r="G668" s="137"/>
    </row>
    <row r="669">
      <c r="F669" s="137"/>
      <c r="G669" s="137"/>
    </row>
    <row r="670">
      <c r="F670" s="137"/>
      <c r="G670" s="137"/>
    </row>
    <row r="671">
      <c r="F671" s="137"/>
      <c r="G671" s="137"/>
    </row>
    <row r="672">
      <c r="F672" s="137"/>
      <c r="G672" s="137"/>
    </row>
    <row r="673">
      <c r="F673" s="137"/>
      <c r="G673" s="137"/>
    </row>
    <row r="674">
      <c r="F674" s="137"/>
      <c r="G674" s="137"/>
    </row>
    <row r="675">
      <c r="F675" s="137"/>
      <c r="G675" s="137"/>
    </row>
    <row r="676">
      <c r="F676" s="137"/>
      <c r="G676" s="137"/>
    </row>
    <row r="677">
      <c r="F677" s="137"/>
      <c r="G677" s="137"/>
    </row>
    <row r="678">
      <c r="F678" s="137"/>
      <c r="G678" s="137"/>
    </row>
    <row r="679">
      <c r="F679" s="137"/>
      <c r="G679" s="137"/>
    </row>
    <row r="680">
      <c r="F680" s="137"/>
      <c r="G680" s="137"/>
    </row>
    <row r="681">
      <c r="F681" s="137"/>
      <c r="G681" s="137"/>
    </row>
    <row r="682">
      <c r="F682" s="137"/>
      <c r="G682" s="137"/>
    </row>
    <row r="683">
      <c r="F683" s="137"/>
      <c r="G683" s="137"/>
    </row>
    <row r="684">
      <c r="F684" s="137"/>
      <c r="G684" s="137"/>
    </row>
    <row r="685">
      <c r="F685" s="137"/>
      <c r="G685" s="137"/>
    </row>
    <row r="686">
      <c r="F686" s="137"/>
      <c r="G686" s="137"/>
    </row>
    <row r="687">
      <c r="F687" s="137"/>
      <c r="G687" s="137"/>
    </row>
    <row r="688">
      <c r="F688" s="137"/>
      <c r="G688" s="137"/>
    </row>
    <row r="689">
      <c r="F689" s="137"/>
      <c r="G689" s="137"/>
    </row>
    <row r="690">
      <c r="F690" s="137"/>
      <c r="G690" s="137"/>
    </row>
    <row r="691">
      <c r="F691" s="137"/>
      <c r="G691" s="137"/>
    </row>
    <row r="692">
      <c r="F692" s="137"/>
      <c r="G692" s="137"/>
    </row>
    <row r="693">
      <c r="F693" s="137"/>
      <c r="G693" s="137"/>
    </row>
    <row r="694">
      <c r="F694" s="137"/>
      <c r="G694" s="137"/>
    </row>
    <row r="695">
      <c r="F695" s="137"/>
      <c r="G695" s="137"/>
    </row>
    <row r="696">
      <c r="F696" s="137"/>
      <c r="G696" s="137"/>
    </row>
    <row r="697">
      <c r="F697" s="137"/>
      <c r="G697" s="137"/>
    </row>
    <row r="698">
      <c r="F698" s="137"/>
      <c r="G698" s="137"/>
    </row>
    <row r="699">
      <c r="F699" s="137"/>
      <c r="G699" s="137"/>
    </row>
    <row r="700">
      <c r="F700" s="137"/>
      <c r="G700" s="137"/>
    </row>
    <row r="701">
      <c r="F701" s="137"/>
      <c r="G701" s="137"/>
    </row>
    <row r="702">
      <c r="F702" s="137"/>
      <c r="G702" s="137"/>
    </row>
    <row r="703">
      <c r="F703" s="137"/>
      <c r="G703" s="137"/>
    </row>
    <row r="704">
      <c r="F704" s="137"/>
      <c r="G704" s="137"/>
    </row>
    <row r="705">
      <c r="F705" s="137"/>
      <c r="G705" s="137"/>
    </row>
    <row r="706">
      <c r="F706" s="137"/>
      <c r="G706" s="137"/>
    </row>
    <row r="707">
      <c r="F707" s="137"/>
      <c r="G707" s="137"/>
    </row>
    <row r="708">
      <c r="F708" s="137"/>
      <c r="G708" s="137"/>
    </row>
    <row r="709">
      <c r="F709" s="137"/>
      <c r="G709" s="137"/>
    </row>
    <row r="710">
      <c r="F710" s="137"/>
      <c r="G710" s="137"/>
    </row>
    <row r="711">
      <c r="F711" s="137"/>
      <c r="G711" s="137"/>
    </row>
    <row r="712">
      <c r="F712" s="137"/>
      <c r="G712" s="137"/>
    </row>
    <row r="713">
      <c r="F713" s="137"/>
      <c r="G713" s="137"/>
    </row>
    <row r="714">
      <c r="F714" s="137"/>
      <c r="G714" s="137"/>
    </row>
    <row r="715">
      <c r="F715" s="137"/>
      <c r="G715" s="137"/>
    </row>
    <row r="716">
      <c r="F716" s="137"/>
      <c r="G716" s="137"/>
    </row>
    <row r="717">
      <c r="F717" s="137"/>
      <c r="G717" s="137"/>
    </row>
    <row r="718">
      <c r="F718" s="137"/>
      <c r="G718" s="137"/>
    </row>
    <row r="719">
      <c r="F719" s="137"/>
      <c r="G719" s="137"/>
    </row>
    <row r="720">
      <c r="F720" s="137"/>
      <c r="G720" s="137"/>
    </row>
    <row r="721">
      <c r="F721" s="137"/>
      <c r="G721" s="137"/>
    </row>
    <row r="722">
      <c r="F722" s="137"/>
      <c r="G722" s="137"/>
    </row>
    <row r="723">
      <c r="F723" s="137"/>
      <c r="G723" s="137"/>
    </row>
    <row r="724">
      <c r="F724" s="137"/>
      <c r="G724" s="137"/>
    </row>
    <row r="725">
      <c r="F725" s="137"/>
      <c r="G725" s="137"/>
    </row>
    <row r="726">
      <c r="F726" s="137"/>
      <c r="G726" s="137"/>
    </row>
    <row r="727">
      <c r="F727" s="137"/>
      <c r="G727" s="137"/>
    </row>
    <row r="728">
      <c r="F728" s="137"/>
      <c r="G728" s="137"/>
    </row>
    <row r="729">
      <c r="F729" s="137"/>
      <c r="G729" s="137"/>
    </row>
    <row r="730">
      <c r="F730" s="137"/>
      <c r="G730" s="137"/>
    </row>
    <row r="731">
      <c r="F731" s="137"/>
      <c r="G731" s="137"/>
    </row>
    <row r="732">
      <c r="F732" s="137"/>
      <c r="G732" s="137"/>
    </row>
    <row r="733">
      <c r="F733" s="137"/>
      <c r="G733" s="137"/>
    </row>
    <row r="734">
      <c r="F734" s="137"/>
      <c r="G734" s="137"/>
    </row>
    <row r="735">
      <c r="F735" s="137"/>
      <c r="G735" s="137"/>
    </row>
    <row r="736">
      <c r="F736" s="137"/>
      <c r="G736" s="137"/>
    </row>
    <row r="737">
      <c r="F737" s="137"/>
      <c r="G737" s="137"/>
    </row>
    <row r="738">
      <c r="F738" s="137"/>
      <c r="G738" s="137"/>
    </row>
    <row r="739">
      <c r="F739" s="137"/>
      <c r="G739" s="137"/>
    </row>
    <row r="740">
      <c r="F740" s="137"/>
      <c r="G740" s="137"/>
    </row>
    <row r="741">
      <c r="F741" s="137"/>
      <c r="G741" s="137"/>
    </row>
    <row r="742">
      <c r="F742" s="137"/>
      <c r="G742" s="137"/>
    </row>
    <row r="743">
      <c r="F743" s="137"/>
      <c r="G743" s="137"/>
    </row>
    <row r="744">
      <c r="F744" s="137"/>
      <c r="G744" s="137"/>
    </row>
    <row r="745">
      <c r="F745" s="137"/>
      <c r="G745" s="137"/>
    </row>
    <row r="746">
      <c r="F746" s="137"/>
      <c r="G746" s="137"/>
    </row>
    <row r="747">
      <c r="F747" s="137"/>
      <c r="G747" s="137"/>
    </row>
    <row r="748">
      <c r="F748" s="137"/>
      <c r="G748" s="137"/>
    </row>
    <row r="749">
      <c r="F749" s="137"/>
      <c r="G749" s="137"/>
    </row>
    <row r="750">
      <c r="F750" s="137"/>
      <c r="G750" s="137"/>
    </row>
    <row r="751">
      <c r="F751" s="137"/>
      <c r="G751" s="137"/>
    </row>
    <row r="752">
      <c r="F752" s="137"/>
      <c r="G752" s="137"/>
    </row>
    <row r="753">
      <c r="F753" s="137"/>
      <c r="G753" s="137"/>
    </row>
    <row r="754">
      <c r="F754" s="137"/>
      <c r="G754" s="137"/>
    </row>
    <row r="755">
      <c r="F755" s="137"/>
      <c r="G755" s="137"/>
    </row>
    <row r="756">
      <c r="F756" s="137"/>
      <c r="G756" s="137"/>
    </row>
    <row r="757">
      <c r="F757" s="137"/>
      <c r="G757" s="137"/>
    </row>
    <row r="758">
      <c r="F758" s="137"/>
      <c r="G758" s="137"/>
    </row>
    <row r="759">
      <c r="F759" s="137"/>
      <c r="G759" s="137"/>
    </row>
    <row r="760">
      <c r="F760" s="137"/>
      <c r="G760" s="137"/>
    </row>
    <row r="761">
      <c r="F761" s="137"/>
      <c r="G761" s="137"/>
    </row>
    <row r="762">
      <c r="F762" s="137"/>
      <c r="G762" s="137"/>
    </row>
    <row r="763">
      <c r="F763" s="137"/>
      <c r="G763" s="137"/>
    </row>
    <row r="764">
      <c r="F764" s="137"/>
      <c r="G764" s="137"/>
    </row>
    <row r="765">
      <c r="F765" s="137"/>
      <c r="G765" s="137"/>
    </row>
    <row r="766">
      <c r="F766" s="137"/>
      <c r="G766" s="137"/>
    </row>
    <row r="767">
      <c r="F767" s="137"/>
      <c r="G767" s="137"/>
    </row>
    <row r="768">
      <c r="F768" s="137"/>
      <c r="G768" s="137"/>
    </row>
    <row r="769">
      <c r="F769" s="137"/>
      <c r="G769" s="137"/>
    </row>
    <row r="770">
      <c r="F770" s="137"/>
      <c r="G770" s="137"/>
    </row>
    <row r="771">
      <c r="F771" s="137"/>
      <c r="G771" s="137"/>
    </row>
    <row r="772">
      <c r="F772" s="137"/>
      <c r="G772" s="137"/>
    </row>
    <row r="773">
      <c r="F773" s="137"/>
      <c r="G773" s="137"/>
    </row>
    <row r="774">
      <c r="F774" s="137"/>
      <c r="G774" s="137"/>
    </row>
    <row r="775">
      <c r="F775" s="137"/>
      <c r="G775" s="137"/>
    </row>
    <row r="776">
      <c r="F776" s="137"/>
      <c r="G776" s="137"/>
    </row>
    <row r="777">
      <c r="F777" s="137"/>
      <c r="G777" s="137"/>
    </row>
    <row r="778">
      <c r="F778" s="137"/>
      <c r="G778" s="137"/>
    </row>
    <row r="779">
      <c r="F779" s="137"/>
      <c r="G779" s="137"/>
    </row>
    <row r="780">
      <c r="F780" s="137"/>
      <c r="G780" s="137"/>
    </row>
    <row r="781">
      <c r="F781" s="137"/>
      <c r="G781" s="137"/>
    </row>
    <row r="782">
      <c r="F782" s="137"/>
      <c r="G782" s="137"/>
    </row>
    <row r="783">
      <c r="F783" s="137"/>
      <c r="G783" s="137"/>
    </row>
    <row r="784">
      <c r="F784" s="137"/>
      <c r="G784" s="137"/>
    </row>
    <row r="785">
      <c r="F785" s="137"/>
      <c r="G785" s="137"/>
    </row>
    <row r="786">
      <c r="F786" s="137"/>
      <c r="G786" s="137"/>
    </row>
    <row r="787">
      <c r="F787" s="137"/>
      <c r="G787" s="137"/>
    </row>
    <row r="788">
      <c r="F788" s="137"/>
      <c r="G788" s="137"/>
    </row>
    <row r="789">
      <c r="F789" s="137"/>
      <c r="G789" s="137"/>
    </row>
    <row r="790">
      <c r="F790" s="137"/>
      <c r="G790" s="137"/>
    </row>
    <row r="791">
      <c r="F791" s="137"/>
      <c r="G791" s="137"/>
    </row>
    <row r="792">
      <c r="F792" s="137"/>
      <c r="G792" s="137"/>
    </row>
    <row r="793">
      <c r="F793" s="137"/>
      <c r="G793" s="137"/>
    </row>
    <row r="794">
      <c r="F794" s="137"/>
      <c r="G794" s="137"/>
    </row>
    <row r="795">
      <c r="F795" s="137"/>
      <c r="G795" s="137"/>
    </row>
    <row r="796">
      <c r="F796" s="137"/>
      <c r="G796" s="137"/>
    </row>
    <row r="797">
      <c r="F797" s="137"/>
      <c r="G797" s="137"/>
    </row>
    <row r="798">
      <c r="F798" s="137"/>
      <c r="G798" s="137"/>
    </row>
    <row r="799">
      <c r="F799" s="137"/>
      <c r="G799" s="137"/>
    </row>
    <row r="800">
      <c r="F800" s="137"/>
      <c r="G800" s="137"/>
    </row>
    <row r="801">
      <c r="F801" s="137"/>
      <c r="G801" s="137"/>
    </row>
    <row r="802">
      <c r="F802" s="137"/>
      <c r="G802" s="137"/>
    </row>
    <row r="803">
      <c r="F803" s="137"/>
      <c r="G803" s="137"/>
    </row>
    <row r="804">
      <c r="F804" s="137"/>
      <c r="G804" s="137"/>
    </row>
    <row r="805">
      <c r="F805" s="137"/>
      <c r="G805" s="137"/>
    </row>
    <row r="806">
      <c r="F806" s="137"/>
      <c r="G806" s="137"/>
    </row>
    <row r="807">
      <c r="F807" s="137"/>
      <c r="G807" s="137"/>
    </row>
    <row r="808">
      <c r="F808" s="137"/>
      <c r="G808" s="137"/>
    </row>
    <row r="809">
      <c r="F809" s="137"/>
      <c r="G809" s="137"/>
    </row>
    <row r="810">
      <c r="F810" s="137"/>
      <c r="G810" s="137"/>
    </row>
    <row r="811">
      <c r="F811" s="137"/>
      <c r="G811" s="137"/>
    </row>
    <row r="812">
      <c r="F812" s="137"/>
      <c r="G812" s="137"/>
    </row>
    <row r="813">
      <c r="F813" s="137"/>
      <c r="G813" s="137"/>
    </row>
    <row r="814">
      <c r="F814" s="137"/>
      <c r="G814" s="137"/>
    </row>
    <row r="815">
      <c r="F815" s="137"/>
      <c r="G815" s="137"/>
    </row>
    <row r="816">
      <c r="F816" s="137"/>
      <c r="G816" s="137"/>
    </row>
    <row r="817">
      <c r="F817" s="137"/>
      <c r="G817" s="137"/>
    </row>
    <row r="818">
      <c r="F818" s="137"/>
      <c r="G818" s="137"/>
    </row>
    <row r="819">
      <c r="F819" s="137"/>
      <c r="G819" s="137"/>
    </row>
    <row r="820">
      <c r="F820" s="137"/>
      <c r="G820" s="137"/>
    </row>
    <row r="821">
      <c r="F821" s="137"/>
      <c r="G821" s="137"/>
    </row>
    <row r="822">
      <c r="F822" s="137"/>
      <c r="G822" s="137"/>
    </row>
    <row r="823">
      <c r="F823" s="137"/>
      <c r="G823" s="137"/>
    </row>
    <row r="824">
      <c r="F824" s="137"/>
      <c r="G824" s="137"/>
    </row>
    <row r="825">
      <c r="F825" s="137"/>
      <c r="G825" s="137"/>
    </row>
    <row r="826">
      <c r="F826" s="137"/>
      <c r="G826" s="137"/>
    </row>
    <row r="827">
      <c r="F827" s="137"/>
      <c r="G827" s="137"/>
    </row>
    <row r="828">
      <c r="F828" s="137"/>
      <c r="G828" s="137"/>
    </row>
    <row r="829">
      <c r="F829" s="137"/>
      <c r="G829" s="137"/>
    </row>
    <row r="830">
      <c r="F830" s="137"/>
      <c r="G830" s="137"/>
    </row>
    <row r="831">
      <c r="F831" s="137"/>
      <c r="G831" s="137"/>
    </row>
    <row r="832">
      <c r="F832" s="137"/>
      <c r="G832" s="137"/>
    </row>
    <row r="833">
      <c r="F833" s="137"/>
      <c r="G833" s="137"/>
    </row>
    <row r="834">
      <c r="F834" s="137"/>
      <c r="G834" s="137"/>
    </row>
    <row r="835">
      <c r="F835" s="137"/>
      <c r="G835" s="137"/>
    </row>
    <row r="836">
      <c r="F836" s="137"/>
      <c r="G836" s="137"/>
    </row>
    <row r="837">
      <c r="F837" s="137"/>
      <c r="G837" s="137"/>
    </row>
    <row r="838">
      <c r="F838" s="137"/>
      <c r="G838" s="137"/>
    </row>
    <row r="839">
      <c r="F839" s="137"/>
      <c r="G839" s="137"/>
    </row>
    <row r="840">
      <c r="F840" s="137"/>
      <c r="G840" s="137"/>
    </row>
    <row r="841">
      <c r="F841" s="137"/>
      <c r="G841" s="137"/>
    </row>
    <row r="842">
      <c r="F842" s="137"/>
      <c r="G842" s="137"/>
    </row>
    <row r="843">
      <c r="F843" s="137"/>
      <c r="G843" s="137"/>
    </row>
    <row r="844">
      <c r="F844" s="137"/>
      <c r="G844" s="137"/>
    </row>
    <row r="845">
      <c r="F845" s="137"/>
      <c r="G845" s="137"/>
    </row>
    <row r="846">
      <c r="F846" s="137"/>
      <c r="G846" s="137"/>
    </row>
    <row r="847">
      <c r="F847" s="137"/>
      <c r="G847" s="137"/>
    </row>
    <row r="848">
      <c r="F848" s="137"/>
      <c r="G848" s="137"/>
    </row>
    <row r="849">
      <c r="F849" s="137"/>
      <c r="G849" s="137"/>
    </row>
    <row r="850">
      <c r="F850" s="137"/>
      <c r="G850" s="137"/>
    </row>
    <row r="851">
      <c r="F851" s="137"/>
      <c r="G851" s="137"/>
    </row>
    <row r="852">
      <c r="F852" s="137"/>
      <c r="G852" s="137"/>
    </row>
    <row r="853">
      <c r="F853" s="137"/>
      <c r="G853" s="137"/>
    </row>
    <row r="854">
      <c r="F854" s="137"/>
      <c r="G854" s="137"/>
    </row>
    <row r="855">
      <c r="F855" s="137"/>
      <c r="G855" s="137"/>
    </row>
    <row r="856">
      <c r="F856" s="137"/>
      <c r="G856" s="137"/>
    </row>
    <row r="857">
      <c r="F857" s="137"/>
      <c r="G857" s="137"/>
    </row>
    <row r="858">
      <c r="F858" s="137"/>
      <c r="G858" s="137"/>
    </row>
    <row r="859">
      <c r="F859" s="137"/>
      <c r="G859" s="137"/>
    </row>
    <row r="860">
      <c r="F860" s="137"/>
      <c r="G860" s="137"/>
    </row>
    <row r="861">
      <c r="F861" s="137"/>
      <c r="G861" s="137"/>
    </row>
    <row r="862">
      <c r="F862" s="137"/>
      <c r="G862" s="137"/>
    </row>
    <row r="863">
      <c r="F863" s="137"/>
      <c r="G863" s="137"/>
    </row>
    <row r="864">
      <c r="F864" s="137"/>
      <c r="G864" s="137"/>
    </row>
    <row r="865">
      <c r="F865" s="137"/>
      <c r="G865" s="137"/>
    </row>
    <row r="866">
      <c r="F866" s="137"/>
      <c r="G866" s="137"/>
    </row>
    <row r="867">
      <c r="F867" s="137"/>
      <c r="G867" s="137"/>
    </row>
    <row r="868">
      <c r="F868" s="137"/>
      <c r="G868" s="137"/>
    </row>
    <row r="869">
      <c r="F869" s="137"/>
      <c r="G869" s="137"/>
    </row>
    <row r="870">
      <c r="F870" s="137"/>
      <c r="G870" s="137"/>
    </row>
    <row r="871">
      <c r="F871" s="137"/>
      <c r="G871" s="137"/>
    </row>
    <row r="872">
      <c r="F872" s="137"/>
      <c r="G872" s="137"/>
    </row>
    <row r="873">
      <c r="F873" s="137"/>
      <c r="G873" s="137"/>
    </row>
    <row r="874">
      <c r="F874" s="137"/>
      <c r="G874" s="137"/>
    </row>
    <row r="875">
      <c r="F875" s="137"/>
      <c r="G875" s="137"/>
    </row>
    <row r="876">
      <c r="F876" s="137"/>
      <c r="G876" s="137"/>
    </row>
    <row r="877">
      <c r="F877" s="137"/>
      <c r="G877" s="137"/>
    </row>
    <row r="878">
      <c r="F878" s="137"/>
      <c r="G878" s="137"/>
    </row>
    <row r="879">
      <c r="F879" s="137"/>
      <c r="G879" s="137"/>
    </row>
    <row r="880">
      <c r="F880" s="137"/>
      <c r="G880" s="137"/>
    </row>
    <row r="881">
      <c r="F881" s="137"/>
      <c r="G881" s="137"/>
    </row>
    <row r="882">
      <c r="F882" s="137"/>
      <c r="G882" s="137"/>
    </row>
    <row r="883">
      <c r="F883" s="137"/>
      <c r="G883" s="137"/>
    </row>
    <row r="884">
      <c r="F884" s="137"/>
      <c r="G884" s="137"/>
    </row>
    <row r="885">
      <c r="F885" s="137"/>
      <c r="G885" s="137"/>
    </row>
    <row r="886">
      <c r="F886" s="137"/>
      <c r="G886" s="137"/>
    </row>
    <row r="887">
      <c r="F887" s="137"/>
      <c r="G887" s="137"/>
    </row>
    <row r="888">
      <c r="F888" s="137"/>
      <c r="G888" s="137"/>
    </row>
    <row r="889">
      <c r="F889" s="137"/>
      <c r="G889" s="137"/>
    </row>
    <row r="890">
      <c r="F890" s="137"/>
      <c r="G890" s="137"/>
    </row>
    <row r="891">
      <c r="F891" s="137"/>
      <c r="G891" s="137"/>
    </row>
    <row r="892">
      <c r="F892" s="137"/>
      <c r="G892" s="137"/>
    </row>
    <row r="893">
      <c r="F893" s="137"/>
      <c r="G893" s="137"/>
    </row>
    <row r="894">
      <c r="F894" s="137"/>
      <c r="G894" s="137"/>
    </row>
    <row r="895">
      <c r="F895" s="137"/>
      <c r="G895" s="137"/>
    </row>
    <row r="896">
      <c r="F896" s="137"/>
      <c r="G896" s="137"/>
    </row>
    <row r="897">
      <c r="F897" s="137"/>
      <c r="G897" s="137"/>
    </row>
    <row r="898">
      <c r="F898" s="137"/>
      <c r="G898" s="137"/>
    </row>
    <row r="899">
      <c r="F899" s="137"/>
      <c r="G899" s="137"/>
    </row>
    <row r="900">
      <c r="F900" s="137"/>
      <c r="G900" s="137"/>
    </row>
    <row r="901">
      <c r="F901" s="137"/>
      <c r="G901" s="137"/>
    </row>
    <row r="902">
      <c r="F902" s="137"/>
      <c r="G902" s="137"/>
    </row>
    <row r="903">
      <c r="F903" s="137"/>
      <c r="G903" s="137"/>
    </row>
    <row r="904">
      <c r="F904" s="137"/>
      <c r="G904" s="137"/>
    </row>
    <row r="905">
      <c r="F905" s="137"/>
      <c r="G905" s="137"/>
    </row>
    <row r="906">
      <c r="F906" s="137"/>
      <c r="G906" s="137"/>
    </row>
    <row r="907">
      <c r="F907" s="137"/>
      <c r="G907" s="137"/>
    </row>
    <row r="908">
      <c r="F908" s="137"/>
      <c r="G908" s="137"/>
    </row>
    <row r="909">
      <c r="F909" s="137"/>
      <c r="G909" s="137"/>
    </row>
    <row r="910">
      <c r="F910" s="137"/>
      <c r="G910" s="137"/>
    </row>
    <row r="911">
      <c r="F911" s="137"/>
      <c r="G911" s="137"/>
    </row>
    <row r="912">
      <c r="F912" s="137"/>
      <c r="G912" s="137"/>
    </row>
    <row r="913">
      <c r="F913" s="137"/>
      <c r="G913" s="137"/>
    </row>
    <row r="914">
      <c r="F914" s="137"/>
      <c r="G914" s="137"/>
    </row>
    <row r="915">
      <c r="F915" s="137"/>
      <c r="G915" s="137"/>
    </row>
    <row r="916">
      <c r="F916" s="137"/>
      <c r="G916" s="137"/>
    </row>
    <row r="917">
      <c r="F917" s="137"/>
      <c r="G917" s="137"/>
    </row>
    <row r="918">
      <c r="F918" s="137"/>
      <c r="G918" s="137"/>
    </row>
    <row r="919">
      <c r="F919" s="137"/>
      <c r="G919" s="137"/>
    </row>
    <row r="920">
      <c r="F920" s="137"/>
      <c r="G920" s="137"/>
    </row>
    <row r="921">
      <c r="F921" s="137"/>
      <c r="G921" s="137"/>
    </row>
    <row r="922">
      <c r="F922" s="137"/>
      <c r="G922" s="137"/>
    </row>
    <row r="923">
      <c r="F923" s="137"/>
      <c r="G923" s="137"/>
    </row>
    <row r="924">
      <c r="F924" s="137"/>
      <c r="G924" s="137"/>
    </row>
    <row r="925">
      <c r="F925" s="137"/>
      <c r="G925" s="137"/>
    </row>
    <row r="926">
      <c r="F926" s="137"/>
      <c r="G926" s="137"/>
    </row>
    <row r="927">
      <c r="F927" s="137"/>
      <c r="G927" s="137"/>
    </row>
    <row r="928">
      <c r="F928" s="137"/>
      <c r="G928" s="137"/>
    </row>
    <row r="929">
      <c r="F929" s="137"/>
      <c r="G929" s="137"/>
    </row>
    <row r="930">
      <c r="F930" s="137"/>
      <c r="G930" s="137"/>
    </row>
    <row r="931">
      <c r="F931" s="137"/>
      <c r="G931" s="137"/>
    </row>
    <row r="932">
      <c r="F932" s="137"/>
      <c r="G932" s="137"/>
    </row>
    <row r="933">
      <c r="F933" s="137"/>
      <c r="G933" s="137"/>
    </row>
    <row r="934">
      <c r="F934" s="137"/>
      <c r="G934" s="137"/>
    </row>
    <row r="935">
      <c r="F935" s="137"/>
      <c r="G935" s="137"/>
    </row>
    <row r="936">
      <c r="F936" s="137"/>
      <c r="G936" s="137"/>
    </row>
    <row r="937">
      <c r="F937" s="137"/>
      <c r="G937" s="137"/>
    </row>
    <row r="938">
      <c r="F938" s="137"/>
      <c r="G938" s="137"/>
    </row>
    <row r="939">
      <c r="F939" s="137"/>
      <c r="G939" s="137"/>
    </row>
    <row r="940">
      <c r="F940" s="137"/>
      <c r="G940" s="137"/>
    </row>
    <row r="941">
      <c r="F941" s="137"/>
      <c r="G941" s="137"/>
    </row>
    <row r="942">
      <c r="F942" s="137"/>
      <c r="G942" s="137"/>
    </row>
    <row r="943">
      <c r="F943" s="137"/>
      <c r="G943" s="137"/>
    </row>
    <row r="944">
      <c r="F944" s="137"/>
      <c r="G944" s="137"/>
    </row>
    <row r="945">
      <c r="F945" s="137"/>
      <c r="G945" s="137"/>
    </row>
    <row r="946">
      <c r="F946" s="137"/>
      <c r="G946" s="137"/>
    </row>
    <row r="947">
      <c r="F947" s="137"/>
      <c r="G947" s="137"/>
    </row>
    <row r="948">
      <c r="F948" s="137"/>
      <c r="G948" s="137"/>
    </row>
    <row r="949">
      <c r="F949" s="137"/>
      <c r="G949" s="137"/>
    </row>
    <row r="950">
      <c r="F950" s="137"/>
      <c r="G950" s="137"/>
    </row>
    <row r="951">
      <c r="F951" s="137"/>
      <c r="G951" s="137"/>
    </row>
    <row r="952">
      <c r="F952" s="137"/>
      <c r="G952" s="137"/>
    </row>
    <row r="953">
      <c r="F953" s="137"/>
      <c r="G953" s="137"/>
    </row>
    <row r="954">
      <c r="F954" s="137"/>
      <c r="G954" s="137"/>
    </row>
    <row r="955">
      <c r="F955" s="137"/>
      <c r="G955" s="137"/>
    </row>
    <row r="956">
      <c r="F956" s="137"/>
      <c r="G956" s="137"/>
    </row>
    <row r="957">
      <c r="F957" s="137"/>
      <c r="G957" s="137"/>
    </row>
    <row r="958">
      <c r="F958" s="137"/>
      <c r="G958" s="137"/>
    </row>
    <row r="959">
      <c r="F959" s="137"/>
      <c r="G959" s="137"/>
    </row>
    <row r="960">
      <c r="F960" s="137"/>
      <c r="G960" s="137"/>
    </row>
    <row r="961">
      <c r="F961" s="137"/>
      <c r="G961" s="137"/>
    </row>
    <row r="962">
      <c r="F962" s="137"/>
      <c r="G962" s="137"/>
    </row>
    <row r="963">
      <c r="F963" s="137"/>
      <c r="G963" s="137"/>
    </row>
    <row r="964">
      <c r="F964" s="137"/>
      <c r="G964" s="137"/>
    </row>
    <row r="965">
      <c r="F965" s="137"/>
      <c r="G965" s="137"/>
    </row>
    <row r="966">
      <c r="F966" s="137"/>
      <c r="G966" s="137"/>
    </row>
    <row r="967">
      <c r="F967" s="137"/>
      <c r="G967" s="137"/>
    </row>
    <row r="968">
      <c r="F968" s="137"/>
      <c r="G968" s="137"/>
    </row>
    <row r="969">
      <c r="F969" s="137"/>
      <c r="G969" s="137"/>
    </row>
    <row r="970">
      <c r="F970" s="137"/>
      <c r="G970" s="137"/>
    </row>
    <row r="971">
      <c r="F971" s="137"/>
      <c r="G971" s="137"/>
    </row>
    <row r="972">
      <c r="F972" s="137"/>
      <c r="G972" s="137"/>
    </row>
    <row r="973">
      <c r="F973" s="137"/>
      <c r="G973" s="137"/>
    </row>
    <row r="974">
      <c r="F974" s="137"/>
      <c r="G974" s="137"/>
    </row>
    <row r="975">
      <c r="F975" s="137"/>
      <c r="G975" s="137"/>
    </row>
    <row r="976">
      <c r="F976" s="137"/>
      <c r="G976" s="137"/>
    </row>
    <row r="977">
      <c r="F977" s="137"/>
      <c r="G977" s="137"/>
    </row>
    <row r="978">
      <c r="F978" s="137"/>
      <c r="G978" s="137"/>
    </row>
    <row r="979">
      <c r="F979" s="137"/>
      <c r="G979" s="137"/>
    </row>
    <row r="980">
      <c r="F980" s="137"/>
      <c r="G980" s="137"/>
    </row>
    <row r="981">
      <c r="F981" s="137"/>
      <c r="G981" s="137"/>
    </row>
    <row r="982">
      <c r="F982" s="137"/>
      <c r="G982" s="137"/>
    </row>
    <row r="983">
      <c r="F983" s="137"/>
      <c r="G983" s="137"/>
    </row>
    <row r="984">
      <c r="F984" s="137"/>
      <c r="G984" s="137"/>
    </row>
    <row r="985">
      <c r="F985" s="137"/>
      <c r="G985" s="137"/>
    </row>
    <row r="986">
      <c r="F986" s="137"/>
      <c r="G986" s="137"/>
    </row>
    <row r="987">
      <c r="F987" s="137"/>
      <c r="G987" s="137"/>
    </row>
    <row r="988">
      <c r="F988" s="137"/>
      <c r="G988" s="137"/>
    </row>
    <row r="989">
      <c r="F989" s="137"/>
      <c r="G989" s="137"/>
    </row>
    <row r="990">
      <c r="F990" s="137"/>
      <c r="G990" s="137"/>
    </row>
    <row r="991">
      <c r="F991" s="137"/>
      <c r="G991" s="137"/>
    </row>
    <row r="992">
      <c r="F992" s="137"/>
      <c r="G992" s="137"/>
    </row>
    <row r="993">
      <c r="F993" s="137"/>
      <c r="G993" s="137"/>
    </row>
    <row r="994">
      <c r="F994" s="137"/>
      <c r="G994" s="137"/>
    </row>
    <row r="995">
      <c r="F995" s="137"/>
      <c r="G995" s="137"/>
    </row>
    <row r="996">
      <c r="F996" s="137"/>
      <c r="G996" s="137"/>
    </row>
    <row r="997">
      <c r="F997" s="137"/>
      <c r="G997" s="137"/>
    </row>
    <row r="998">
      <c r="F998" s="137"/>
      <c r="G998" s="137"/>
    </row>
    <row r="999">
      <c r="F999" s="137"/>
      <c r="G999" s="137"/>
    </row>
    <row r="1000">
      <c r="F1000" s="137"/>
      <c r="G1000" s="137"/>
    </row>
    <row r="1001">
      <c r="F1001" s="137"/>
      <c r="G1001" s="137"/>
    </row>
    <row r="1002">
      <c r="F1002" s="137"/>
      <c r="G1002" s="137"/>
    </row>
    <row r="1003">
      <c r="F1003" s="137"/>
      <c r="G1003" s="137"/>
    </row>
    <row r="1004">
      <c r="F1004" s="137"/>
      <c r="G1004" s="137"/>
    </row>
  </sheetData>
  <autoFilter ref="$A$1:$AC$263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63"/>
    <col customWidth="1" min="2" max="2" width="6.25"/>
    <col customWidth="1" min="3" max="3" width="17.75"/>
    <col customWidth="1" min="4" max="6" width="13.38"/>
  </cols>
  <sheetData>
    <row r="1">
      <c r="A1" s="132" t="s">
        <v>2</v>
      </c>
      <c r="B1" s="132" t="s">
        <v>3</v>
      </c>
      <c r="C1" s="132" t="s">
        <v>4</v>
      </c>
      <c r="D1" s="158" t="s">
        <v>623</v>
      </c>
      <c r="E1" s="133">
        <f>SUM(E2:E261)</f>
        <v>37880</v>
      </c>
      <c r="F1" s="159"/>
    </row>
    <row r="2">
      <c r="A2" s="134">
        <v>1.0</v>
      </c>
      <c r="B2" s="134" t="s">
        <v>19</v>
      </c>
      <c r="C2" s="135" t="s">
        <v>20</v>
      </c>
      <c r="D2" s="135"/>
      <c r="E2" s="135"/>
      <c r="F2" s="160"/>
    </row>
    <row r="3">
      <c r="A3" s="134">
        <v>2.0</v>
      </c>
      <c r="B3" s="134" t="s">
        <v>21</v>
      </c>
      <c r="C3" s="134" t="s">
        <v>22</v>
      </c>
      <c r="D3" s="134"/>
      <c r="E3" s="134"/>
      <c r="F3" s="161"/>
    </row>
    <row r="4">
      <c r="A4" s="134">
        <v>3.0</v>
      </c>
      <c r="B4" s="134" t="s">
        <v>23</v>
      </c>
      <c r="C4" s="135" t="s">
        <v>24</v>
      </c>
      <c r="D4" s="134"/>
      <c r="E4" s="134"/>
      <c r="F4" s="161"/>
    </row>
    <row r="5">
      <c r="A5" s="134">
        <v>4.0</v>
      </c>
      <c r="B5" s="134" t="s">
        <v>25</v>
      </c>
      <c r="C5" s="134" t="s">
        <v>26</v>
      </c>
      <c r="D5" s="134"/>
      <c r="E5" s="134"/>
      <c r="F5" s="161"/>
    </row>
    <row r="6">
      <c r="A6" s="134">
        <v>5.0</v>
      </c>
      <c r="B6" s="134" t="s">
        <v>27</v>
      </c>
      <c r="C6" s="134" t="s">
        <v>28</v>
      </c>
      <c r="D6" s="134"/>
      <c r="E6" s="134"/>
      <c r="F6" s="161"/>
    </row>
    <row r="7">
      <c r="A7" s="134">
        <v>6.0</v>
      </c>
      <c r="B7" s="134" t="s">
        <v>29</v>
      </c>
      <c r="C7" s="134" t="s">
        <v>30</v>
      </c>
      <c r="D7" s="134"/>
      <c r="E7" s="134"/>
      <c r="F7" s="161"/>
    </row>
    <row r="8">
      <c r="A8" s="134">
        <v>7.0</v>
      </c>
      <c r="B8" s="134" t="s">
        <v>31</v>
      </c>
      <c r="C8" s="134" t="s">
        <v>32</v>
      </c>
      <c r="D8" s="134"/>
      <c r="E8" s="134"/>
      <c r="F8" s="161"/>
    </row>
    <row r="9">
      <c r="A9" s="134">
        <v>8.0</v>
      </c>
      <c r="B9" s="134" t="s">
        <v>33</v>
      </c>
      <c r="C9" s="134" t="s">
        <v>34</v>
      </c>
      <c r="D9" s="134"/>
      <c r="E9" s="134"/>
      <c r="F9" s="161"/>
    </row>
    <row r="10">
      <c r="A10" s="134">
        <v>9.0</v>
      </c>
      <c r="B10" s="134" t="s">
        <v>35</v>
      </c>
      <c r="C10" s="134" t="s">
        <v>36</v>
      </c>
      <c r="D10" s="134"/>
      <c r="E10" s="134"/>
      <c r="F10" s="161"/>
    </row>
    <row r="11">
      <c r="A11" s="134">
        <v>10.0</v>
      </c>
      <c r="B11" s="134" t="s">
        <v>37</v>
      </c>
      <c r="C11" s="134" t="s">
        <v>38</v>
      </c>
      <c r="D11" s="136"/>
      <c r="E11" s="136"/>
      <c r="F11" s="162"/>
    </row>
    <row r="12">
      <c r="A12" s="134">
        <v>11.0</v>
      </c>
      <c r="B12" s="134" t="s">
        <v>39</v>
      </c>
      <c r="C12" s="135" t="s">
        <v>40</v>
      </c>
      <c r="D12" s="135"/>
      <c r="E12" s="135"/>
      <c r="F12" s="160"/>
    </row>
    <row r="13">
      <c r="A13" s="134">
        <v>12.0</v>
      </c>
      <c r="B13" s="134" t="s">
        <v>41</v>
      </c>
      <c r="C13" s="134" t="s">
        <v>42</v>
      </c>
      <c r="D13" s="134"/>
      <c r="E13" s="134"/>
      <c r="F13" s="161"/>
    </row>
    <row r="14">
      <c r="A14" s="134">
        <v>13.0</v>
      </c>
      <c r="B14" s="134" t="s">
        <v>43</v>
      </c>
      <c r="C14" s="135" t="s">
        <v>44</v>
      </c>
      <c r="D14" s="134"/>
      <c r="E14" s="134"/>
      <c r="F14" s="161"/>
    </row>
    <row r="15">
      <c r="A15" s="134">
        <v>14.0</v>
      </c>
      <c r="B15" s="134" t="s">
        <v>45</v>
      </c>
      <c r="C15" s="135" t="s">
        <v>46</v>
      </c>
      <c r="D15" s="134"/>
      <c r="E15" s="134"/>
      <c r="F15" s="161"/>
    </row>
    <row r="16">
      <c r="A16" s="134">
        <v>15.0</v>
      </c>
      <c r="B16" s="134" t="s">
        <v>47</v>
      </c>
      <c r="C16" s="134" t="s">
        <v>48</v>
      </c>
      <c r="D16" s="134"/>
      <c r="E16" s="134"/>
      <c r="F16" s="161"/>
    </row>
    <row r="17">
      <c r="A17" s="134">
        <v>16.0</v>
      </c>
      <c r="B17" s="134" t="s">
        <v>49</v>
      </c>
      <c r="C17" s="134" t="s">
        <v>50</v>
      </c>
      <c r="D17" s="134"/>
      <c r="E17" s="134"/>
      <c r="F17" s="161"/>
    </row>
    <row r="18">
      <c r="A18" s="134">
        <v>17.0</v>
      </c>
      <c r="B18" s="134" t="s">
        <v>51</v>
      </c>
      <c r="C18" s="135" t="s">
        <v>52</v>
      </c>
      <c r="D18" s="135"/>
      <c r="E18" s="135"/>
      <c r="F18" s="160"/>
    </row>
    <row r="19">
      <c r="A19" s="134">
        <v>18.0</v>
      </c>
      <c r="B19" s="134" t="s">
        <v>53</v>
      </c>
      <c r="C19" s="134" t="s">
        <v>54</v>
      </c>
      <c r="D19" s="134"/>
      <c r="E19" s="134"/>
      <c r="F19" s="161"/>
    </row>
    <row r="20">
      <c r="A20" s="134">
        <v>19.0</v>
      </c>
      <c r="B20" s="134" t="s">
        <v>55</v>
      </c>
      <c r="C20" s="135" t="s">
        <v>612</v>
      </c>
      <c r="D20" s="135"/>
      <c r="E20" s="135"/>
      <c r="F20" s="160"/>
    </row>
    <row r="21">
      <c r="A21" s="134">
        <v>20.0</v>
      </c>
      <c r="B21" s="134" t="s">
        <v>57</v>
      </c>
      <c r="C21" s="135" t="s">
        <v>58</v>
      </c>
      <c r="D21" s="135"/>
      <c r="E21" s="135"/>
      <c r="F21" s="160"/>
    </row>
    <row r="22">
      <c r="A22" s="134">
        <v>21.0</v>
      </c>
      <c r="B22" s="134" t="s">
        <v>59</v>
      </c>
      <c r="C22" s="134" t="s">
        <v>60</v>
      </c>
      <c r="D22" s="134"/>
      <c r="E22" s="134"/>
      <c r="F22" s="161"/>
    </row>
    <row r="23">
      <c r="A23" s="134">
        <v>22.0</v>
      </c>
      <c r="B23" s="134" t="s">
        <v>61</v>
      </c>
      <c r="C23" s="134" t="s">
        <v>62</v>
      </c>
      <c r="D23" s="134"/>
      <c r="E23" s="134"/>
      <c r="F23" s="161"/>
    </row>
    <row r="24">
      <c r="A24" s="134">
        <v>23.0</v>
      </c>
      <c r="B24" s="134" t="s">
        <v>63</v>
      </c>
      <c r="C24" s="135" t="s">
        <v>64</v>
      </c>
      <c r="D24" s="135"/>
      <c r="E24" s="135"/>
      <c r="F24" s="160"/>
    </row>
    <row r="25">
      <c r="A25" s="134">
        <v>24.0</v>
      </c>
      <c r="B25" s="134" t="s">
        <v>65</v>
      </c>
      <c r="C25" s="134" t="s">
        <v>66</v>
      </c>
      <c r="D25" s="134"/>
      <c r="E25" s="134"/>
      <c r="F25" s="161"/>
    </row>
    <row r="26">
      <c r="A26" s="134">
        <v>25.0</v>
      </c>
      <c r="B26" s="134" t="s">
        <v>67</v>
      </c>
      <c r="C26" s="134" t="s">
        <v>68</v>
      </c>
      <c r="D26" s="134"/>
      <c r="E26" s="134"/>
      <c r="F26" s="161"/>
    </row>
    <row r="27">
      <c r="A27" s="134">
        <v>26.0</v>
      </c>
      <c r="B27" s="134" t="s">
        <v>69</v>
      </c>
      <c r="C27" s="134" t="s">
        <v>70</v>
      </c>
      <c r="D27" s="134"/>
      <c r="E27" s="134"/>
      <c r="F27" s="161"/>
    </row>
    <row r="28">
      <c r="A28" s="134">
        <v>27.0</v>
      </c>
      <c r="B28" s="134" t="s">
        <v>71</v>
      </c>
      <c r="C28" s="134" t="s">
        <v>72</v>
      </c>
      <c r="D28" s="134"/>
      <c r="E28" s="134"/>
      <c r="F28" s="161"/>
    </row>
    <row r="29">
      <c r="A29" s="134">
        <v>28.0</v>
      </c>
      <c r="B29" s="134" t="s">
        <v>73</v>
      </c>
      <c r="C29" s="134" t="s">
        <v>74</v>
      </c>
      <c r="D29" s="134"/>
      <c r="E29" s="134"/>
      <c r="F29" s="161"/>
    </row>
    <row r="30">
      <c r="A30" s="134">
        <v>29.0</v>
      </c>
      <c r="B30" s="134" t="s">
        <v>75</v>
      </c>
      <c r="C30" s="134" t="s">
        <v>76</v>
      </c>
      <c r="D30" s="134"/>
      <c r="E30" s="134"/>
      <c r="F30" s="161"/>
    </row>
    <row r="31">
      <c r="A31" s="134">
        <v>30.0</v>
      </c>
      <c r="B31" s="134" t="s">
        <v>77</v>
      </c>
      <c r="C31" s="134" t="s">
        <v>78</v>
      </c>
      <c r="D31" s="134"/>
      <c r="E31" s="134"/>
      <c r="F31" s="161"/>
    </row>
    <row r="32">
      <c r="A32" s="134">
        <v>31.0</v>
      </c>
      <c r="B32" s="134" t="s">
        <v>79</v>
      </c>
      <c r="C32" s="134" t="s">
        <v>613</v>
      </c>
      <c r="D32" s="134"/>
      <c r="E32" s="134"/>
      <c r="F32" s="161"/>
    </row>
    <row r="33">
      <c r="A33" s="134">
        <v>32.0</v>
      </c>
      <c r="B33" s="134" t="s">
        <v>81</v>
      </c>
      <c r="C33" s="134" t="s">
        <v>82</v>
      </c>
      <c r="D33" s="134"/>
      <c r="E33" s="134"/>
      <c r="F33" s="161"/>
    </row>
    <row r="34">
      <c r="A34" s="134">
        <v>33.0</v>
      </c>
      <c r="B34" s="134" t="s">
        <v>83</v>
      </c>
      <c r="C34" s="135" t="s">
        <v>84</v>
      </c>
      <c r="D34" s="134"/>
      <c r="E34" s="134"/>
      <c r="F34" s="161"/>
    </row>
    <row r="35">
      <c r="A35" s="134">
        <v>34.0</v>
      </c>
      <c r="B35" s="134" t="s">
        <v>85</v>
      </c>
      <c r="C35" s="134" t="s">
        <v>86</v>
      </c>
      <c r="D35" s="134"/>
      <c r="E35" s="134"/>
      <c r="F35" s="161"/>
    </row>
    <row r="36">
      <c r="A36" s="134">
        <v>35.0</v>
      </c>
      <c r="B36" s="134" t="s">
        <v>87</v>
      </c>
      <c r="C36" s="134" t="s">
        <v>88</v>
      </c>
      <c r="D36" s="134"/>
      <c r="E36" s="134"/>
      <c r="F36" s="161"/>
    </row>
    <row r="37">
      <c r="A37" s="134">
        <v>36.0</v>
      </c>
      <c r="B37" s="134" t="s">
        <v>89</v>
      </c>
      <c r="C37" s="134" t="s">
        <v>90</v>
      </c>
      <c r="D37" s="134"/>
      <c r="E37" s="134"/>
      <c r="F37" s="161"/>
    </row>
    <row r="38">
      <c r="A38" s="134">
        <v>37.0</v>
      </c>
      <c r="B38" s="134" t="s">
        <v>91</v>
      </c>
      <c r="C38" s="134" t="s">
        <v>92</v>
      </c>
      <c r="D38" s="134"/>
      <c r="E38" s="134"/>
      <c r="F38" s="161"/>
    </row>
    <row r="39">
      <c r="A39" s="134">
        <v>38.0</v>
      </c>
      <c r="B39" s="134" t="s">
        <v>93</v>
      </c>
      <c r="C39" s="134" t="s">
        <v>94</v>
      </c>
      <c r="D39" s="134"/>
      <c r="E39" s="134"/>
      <c r="F39" s="161"/>
    </row>
    <row r="40">
      <c r="A40" s="134">
        <v>39.0</v>
      </c>
      <c r="B40" s="134" t="s">
        <v>95</v>
      </c>
      <c r="C40" s="134" t="s">
        <v>96</v>
      </c>
      <c r="D40" s="134"/>
      <c r="E40" s="134"/>
      <c r="F40" s="161"/>
    </row>
    <row r="41">
      <c r="A41" s="134">
        <v>40.0</v>
      </c>
      <c r="B41" s="134" t="s">
        <v>97</v>
      </c>
      <c r="C41" s="135" t="s">
        <v>98</v>
      </c>
      <c r="D41" s="134"/>
      <c r="E41" s="134"/>
      <c r="F41" s="161"/>
    </row>
    <row r="42">
      <c r="A42" s="134">
        <v>41.0</v>
      </c>
      <c r="B42" s="134" t="s">
        <v>99</v>
      </c>
      <c r="C42" s="134" t="s">
        <v>100</v>
      </c>
      <c r="D42" s="136"/>
      <c r="E42" s="136"/>
      <c r="F42" s="162"/>
    </row>
    <row r="43">
      <c r="A43" s="134">
        <v>42.0</v>
      </c>
      <c r="B43" s="134" t="s">
        <v>101</v>
      </c>
      <c r="C43" s="134" t="s">
        <v>102</v>
      </c>
      <c r="D43" s="134"/>
      <c r="E43" s="134"/>
      <c r="F43" s="161"/>
    </row>
    <row r="44">
      <c r="A44" s="134">
        <v>43.0</v>
      </c>
      <c r="B44" s="134" t="s">
        <v>103</v>
      </c>
      <c r="C44" s="134" t="s">
        <v>104</v>
      </c>
      <c r="D44" s="134"/>
      <c r="E44" s="134"/>
      <c r="F44" s="161"/>
    </row>
    <row r="45">
      <c r="A45" s="134">
        <v>44.0</v>
      </c>
      <c r="B45" s="134" t="s">
        <v>105</v>
      </c>
      <c r="C45" s="134" t="s">
        <v>106</v>
      </c>
      <c r="D45" s="134"/>
      <c r="E45" s="134"/>
      <c r="F45" s="161"/>
    </row>
    <row r="46">
      <c r="A46" s="134">
        <v>45.0</v>
      </c>
      <c r="B46" s="134" t="s">
        <v>108</v>
      </c>
      <c r="C46" s="134" t="s">
        <v>109</v>
      </c>
      <c r="D46" s="134"/>
      <c r="E46" s="134"/>
      <c r="F46" s="161"/>
    </row>
    <row r="47">
      <c r="A47" s="134">
        <v>46.0</v>
      </c>
      <c r="B47" s="134" t="s">
        <v>110</v>
      </c>
      <c r="C47" s="134" t="s">
        <v>111</v>
      </c>
      <c r="D47" s="134"/>
      <c r="E47" s="134"/>
      <c r="F47" s="161"/>
    </row>
    <row r="48">
      <c r="A48" s="134">
        <v>47.0</v>
      </c>
      <c r="B48" s="134" t="s">
        <v>112</v>
      </c>
      <c r="C48" s="134" t="s">
        <v>113</v>
      </c>
      <c r="D48" s="134"/>
      <c r="E48" s="134"/>
      <c r="F48" s="161"/>
    </row>
    <row r="49">
      <c r="A49" s="134">
        <v>48.0</v>
      </c>
      <c r="B49" s="134" t="s">
        <v>114</v>
      </c>
      <c r="C49" s="135" t="s">
        <v>115</v>
      </c>
      <c r="D49" s="134"/>
      <c r="E49" s="134"/>
      <c r="F49" s="161"/>
    </row>
    <row r="50">
      <c r="A50" s="134">
        <v>49.0</v>
      </c>
      <c r="B50" s="134" t="s">
        <v>117</v>
      </c>
      <c r="C50" s="135"/>
      <c r="D50" s="134"/>
      <c r="E50" s="134"/>
      <c r="F50" s="161"/>
    </row>
    <row r="51">
      <c r="A51" s="134">
        <v>50.0</v>
      </c>
      <c r="B51" s="134" t="s">
        <v>119</v>
      </c>
      <c r="C51" s="135" t="s">
        <v>120</v>
      </c>
      <c r="D51" s="135"/>
      <c r="E51" s="135"/>
      <c r="F51" s="160"/>
    </row>
    <row r="52">
      <c r="A52" s="134">
        <v>51.0</v>
      </c>
      <c r="B52" s="134" t="s">
        <v>123</v>
      </c>
      <c r="C52" s="135"/>
      <c r="D52" s="135"/>
      <c r="E52" s="135"/>
      <c r="F52" s="160"/>
    </row>
    <row r="53">
      <c r="A53" s="134">
        <v>52.0</v>
      </c>
      <c r="B53" s="134" t="s">
        <v>124</v>
      </c>
      <c r="C53" s="134" t="s">
        <v>125</v>
      </c>
      <c r="D53" s="134"/>
      <c r="E53" s="134"/>
      <c r="F53" s="161"/>
    </row>
    <row r="54">
      <c r="A54" s="134">
        <v>53.0</v>
      </c>
      <c r="B54" s="134" t="s">
        <v>126</v>
      </c>
      <c r="C54" s="135" t="s">
        <v>127</v>
      </c>
      <c r="D54" s="135"/>
      <c r="E54" s="135"/>
      <c r="F54" s="160"/>
    </row>
    <row r="55">
      <c r="A55" s="134">
        <v>54.0</v>
      </c>
      <c r="B55" s="134" t="s">
        <v>128</v>
      </c>
      <c r="C55" s="135"/>
      <c r="D55" s="135"/>
      <c r="E55" s="135"/>
      <c r="F55" s="160"/>
    </row>
    <row r="56">
      <c r="A56" s="134">
        <v>55.0</v>
      </c>
      <c r="B56" s="134" t="s">
        <v>129</v>
      </c>
      <c r="C56" s="134" t="s">
        <v>130</v>
      </c>
      <c r="D56" s="134"/>
      <c r="E56" s="134"/>
      <c r="F56" s="161"/>
    </row>
    <row r="57">
      <c r="A57" s="134">
        <v>56.0</v>
      </c>
      <c r="B57" s="134" t="s">
        <v>131</v>
      </c>
      <c r="C57" s="134" t="s">
        <v>132</v>
      </c>
      <c r="D57" s="134"/>
      <c r="E57" s="134"/>
      <c r="F57" s="161"/>
    </row>
    <row r="58">
      <c r="A58" s="134">
        <v>57.0</v>
      </c>
      <c r="B58" s="134" t="s">
        <v>133</v>
      </c>
      <c r="C58" s="134" t="s">
        <v>134</v>
      </c>
      <c r="D58" s="134"/>
      <c r="E58" s="134"/>
      <c r="F58" s="161"/>
    </row>
    <row r="59">
      <c r="A59" s="134">
        <v>58.0</v>
      </c>
      <c r="B59" s="134" t="s">
        <v>135</v>
      </c>
      <c r="C59" s="134" t="s">
        <v>136</v>
      </c>
      <c r="D59" s="134"/>
      <c r="E59" s="134"/>
      <c r="F59" s="161"/>
    </row>
    <row r="60">
      <c r="A60" s="134">
        <v>59.0</v>
      </c>
      <c r="B60" s="134" t="s">
        <v>137</v>
      </c>
      <c r="C60" s="134" t="s">
        <v>138</v>
      </c>
      <c r="D60" s="134"/>
      <c r="E60" s="134"/>
      <c r="F60" s="161"/>
    </row>
    <row r="61">
      <c r="A61" s="134">
        <v>60.0</v>
      </c>
      <c r="B61" s="134" t="s">
        <v>139</v>
      </c>
      <c r="C61" s="134" t="s">
        <v>140</v>
      </c>
      <c r="D61" s="134"/>
      <c r="E61" s="134"/>
      <c r="F61" s="161"/>
    </row>
    <row r="62">
      <c r="A62" s="134">
        <v>61.0</v>
      </c>
      <c r="B62" s="134" t="s">
        <v>141</v>
      </c>
      <c r="C62" s="134" t="s">
        <v>142</v>
      </c>
      <c r="D62" s="134"/>
      <c r="E62" s="134"/>
      <c r="F62" s="161"/>
    </row>
    <row r="63">
      <c r="A63" s="134">
        <v>62.0</v>
      </c>
      <c r="B63" s="134" t="s">
        <v>143</v>
      </c>
      <c r="C63" s="135" t="s">
        <v>144</v>
      </c>
      <c r="D63" s="135"/>
      <c r="E63" s="135"/>
      <c r="F63" s="160"/>
    </row>
    <row r="64">
      <c r="A64" s="134">
        <v>63.0</v>
      </c>
      <c r="B64" s="134" t="s">
        <v>145</v>
      </c>
      <c r="C64" s="135"/>
      <c r="D64" s="135"/>
      <c r="E64" s="135"/>
      <c r="F64" s="160"/>
    </row>
    <row r="65">
      <c r="A65" s="134">
        <v>64.0</v>
      </c>
      <c r="B65" s="134" t="s">
        <v>146</v>
      </c>
      <c r="C65" s="135" t="s">
        <v>147</v>
      </c>
      <c r="D65" s="135"/>
      <c r="E65" s="135"/>
      <c r="F65" s="160"/>
    </row>
    <row r="66">
      <c r="A66" s="134">
        <v>65.0</v>
      </c>
      <c r="B66" s="134" t="s">
        <v>148</v>
      </c>
      <c r="C66" s="134" t="s">
        <v>149</v>
      </c>
      <c r="D66" s="134"/>
      <c r="E66" s="134"/>
      <c r="F66" s="161"/>
    </row>
    <row r="67">
      <c r="A67" s="134">
        <v>66.0</v>
      </c>
      <c r="B67" s="134" t="s">
        <v>150</v>
      </c>
      <c r="C67" s="135" t="s">
        <v>151</v>
      </c>
      <c r="D67" s="135"/>
      <c r="E67" s="135"/>
      <c r="F67" s="160"/>
    </row>
    <row r="68">
      <c r="A68" s="134">
        <v>67.0</v>
      </c>
      <c r="B68" s="134" t="s">
        <v>152</v>
      </c>
      <c r="C68" s="134" t="s">
        <v>153</v>
      </c>
      <c r="D68" s="134"/>
      <c r="E68" s="134"/>
      <c r="F68" s="161"/>
    </row>
    <row r="69">
      <c r="A69" s="134">
        <v>68.0</v>
      </c>
      <c r="B69" s="134" t="s">
        <v>154</v>
      </c>
      <c r="C69" s="134" t="s">
        <v>155</v>
      </c>
      <c r="D69" s="134"/>
      <c r="E69" s="134"/>
      <c r="F69" s="161"/>
    </row>
    <row r="70">
      <c r="A70" s="134">
        <v>69.0</v>
      </c>
      <c r="B70" s="134" t="s">
        <v>156</v>
      </c>
      <c r="C70" s="135" t="s">
        <v>157</v>
      </c>
      <c r="D70" s="135"/>
      <c r="E70" s="135"/>
      <c r="F70" s="160"/>
    </row>
    <row r="71">
      <c r="A71" s="134">
        <v>70.0</v>
      </c>
      <c r="B71" s="134" t="s">
        <v>158</v>
      </c>
      <c r="C71" s="134" t="s">
        <v>159</v>
      </c>
      <c r="D71" s="134"/>
      <c r="E71" s="134"/>
      <c r="F71" s="161"/>
    </row>
    <row r="72">
      <c r="A72" s="134">
        <v>71.0</v>
      </c>
      <c r="B72" s="134" t="s">
        <v>160</v>
      </c>
      <c r="C72" s="134" t="s">
        <v>161</v>
      </c>
      <c r="D72" s="134"/>
      <c r="E72" s="134"/>
      <c r="F72" s="161"/>
    </row>
    <row r="73">
      <c r="A73" s="134">
        <v>72.0</v>
      </c>
      <c r="B73" s="134" t="s">
        <v>162</v>
      </c>
      <c r="C73" s="134" t="s">
        <v>163</v>
      </c>
      <c r="D73" s="134"/>
      <c r="E73" s="134"/>
      <c r="F73" s="161"/>
    </row>
    <row r="74">
      <c r="A74" s="134">
        <v>73.0</v>
      </c>
      <c r="B74" s="134" t="s">
        <v>164</v>
      </c>
      <c r="C74" s="135" t="s">
        <v>165</v>
      </c>
      <c r="D74" s="135"/>
      <c r="E74" s="135"/>
      <c r="F74" s="160"/>
    </row>
    <row r="75">
      <c r="A75" s="134">
        <v>74.0</v>
      </c>
      <c r="B75" s="134" t="s">
        <v>166</v>
      </c>
      <c r="C75" s="135" t="s">
        <v>167</v>
      </c>
      <c r="D75" s="135"/>
      <c r="E75" s="135"/>
      <c r="F75" s="160"/>
    </row>
    <row r="76">
      <c r="A76" s="134">
        <v>75.0</v>
      </c>
      <c r="B76" s="134" t="s">
        <v>169</v>
      </c>
      <c r="C76" s="134" t="s">
        <v>170</v>
      </c>
      <c r="D76" s="134"/>
      <c r="E76" s="134"/>
      <c r="F76" s="161"/>
    </row>
    <row r="77">
      <c r="A77" s="134">
        <v>76.0</v>
      </c>
      <c r="B77" s="134" t="s">
        <v>171</v>
      </c>
      <c r="C77" s="134" t="s">
        <v>172</v>
      </c>
      <c r="D77" s="134"/>
      <c r="E77" s="134"/>
      <c r="F77" s="161"/>
    </row>
    <row r="78">
      <c r="A78" s="134">
        <v>77.0</v>
      </c>
      <c r="B78" s="134" t="s">
        <v>173</v>
      </c>
      <c r="C78" s="135" t="s">
        <v>174</v>
      </c>
      <c r="D78" s="135"/>
      <c r="E78" s="135"/>
      <c r="F78" s="160"/>
    </row>
    <row r="79">
      <c r="A79" s="134">
        <v>78.0</v>
      </c>
      <c r="B79" s="134" t="s">
        <v>175</v>
      </c>
      <c r="C79" s="135" t="s">
        <v>176</v>
      </c>
      <c r="D79" s="135"/>
      <c r="E79" s="135"/>
      <c r="F79" s="160"/>
    </row>
    <row r="80">
      <c r="A80" s="134">
        <v>79.0</v>
      </c>
      <c r="B80" s="134" t="s">
        <v>177</v>
      </c>
      <c r="C80" s="135" t="s">
        <v>176</v>
      </c>
      <c r="D80" s="135"/>
      <c r="E80" s="135"/>
      <c r="F80" s="160"/>
    </row>
    <row r="81">
      <c r="A81" s="134">
        <v>80.0</v>
      </c>
      <c r="B81" s="134" t="s">
        <v>178</v>
      </c>
      <c r="C81" s="135" t="s">
        <v>179</v>
      </c>
      <c r="D81" s="135"/>
      <c r="E81" s="135"/>
      <c r="F81" s="160"/>
    </row>
    <row r="82">
      <c r="A82" s="134">
        <v>81.0</v>
      </c>
      <c r="B82" s="134" t="s">
        <v>180</v>
      </c>
      <c r="C82" s="134" t="s">
        <v>181</v>
      </c>
      <c r="D82" s="134"/>
      <c r="E82" s="134"/>
      <c r="F82" s="161"/>
    </row>
    <row r="83">
      <c r="A83" s="134">
        <v>82.0</v>
      </c>
      <c r="B83" s="134" t="s">
        <v>182</v>
      </c>
      <c r="C83" s="134" t="s">
        <v>183</v>
      </c>
      <c r="D83" s="134"/>
      <c r="E83" s="134"/>
      <c r="F83" s="161"/>
    </row>
    <row r="84">
      <c r="A84" s="134">
        <v>83.0</v>
      </c>
      <c r="B84" s="134" t="s">
        <v>184</v>
      </c>
      <c r="C84" s="134" t="s">
        <v>185</v>
      </c>
      <c r="D84" s="134"/>
      <c r="E84" s="134"/>
      <c r="F84" s="161"/>
    </row>
    <row r="85">
      <c r="A85" s="134">
        <v>84.0</v>
      </c>
      <c r="B85" s="134" t="s">
        <v>186</v>
      </c>
      <c r="C85" s="135" t="s">
        <v>187</v>
      </c>
      <c r="D85" s="135"/>
      <c r="E85" s="135"/>
      <c r="F85" s="160"/>
    </row>
    <row r="86">
      <c r="A86" s="134">
        <v>85.0</v>
      </c>
      <c r="B86" s="134" t="s">
        <v>188</v>
      </c>
      <c r="C86" s="135" t="s">
        <v>189</v>
      </c>
      <c r="D86" s="134"/>
      <c r="E86" s="134"/>
      <c r="F86" s="161"/>
    </row>
    <row r="87">
      <c r="A87" s="134">
        <v>86.0</v>
      </c>
      <c r="B87" s="134" t="s">
        <v>190</v>
      </c>
      <c r="C87" s="134" t="s">
        <v>191</v>
      </c>
      <c r="D87" s="134"/>
      <c r="E87" s="134"/>
      <c r="F87" s="161"/>
    </row>
    <row r="88">
      <c r="A88" s="134">
        <v>87.0</v>
      </c>
      <c r="B88" s="134" t="s">
        <v>192</v>
      </c>
      <c r="C88" s="134" t="s">
        <v>193</v>
      </c>
      <c r="D88" s="134"/>
      <c r="E88" s="134"/>
      <c r="F88" s="161"/>
    </row>
    <row r="89">
      <c r="A89" s="134">
        <v>88.0</v>
      </c>
      <c r="B89" s="134" t="s">
        <v>194</v>
      </c>
      <c r="C89" s="134" t="s">
        <v>132</v>
      </c>
      <c r="D89" s="134"/>
      <c r="E89" s="134"/>
      <c r="F89" s="161"/>
    </row>
    <row r="90">
      <c r="A90" s="134">
        <v>89.0</v>
      </c>
      <c r="B90" s="134" t="s">
        <v>195</v>
      </c>
      <c r="C90" s="134" t="s">
        <v>196</v>
      </c>
      <c r="D90" s="134"/>
      <c r="E90" s="134"/>
      <c r="F90" s="161"/>
    </row>
    <row r="91">
      <c r="A91" s="134">
        <v>90.0</v>
      </c>
      <c r="B91" s="134" t="s">
        <v>197</v>
      </c>
      <c r="C91" s="135" t="s">
        <v>198</v>
      </c>
      <c r="D91" s="135"/>
      <c r="E91" s="135"/>
      <c r="F91" s="160"/>
    </row>
    <row r="92">
      <c r="A92" s="134">
        <v>91.0</v>
      </c>
      <c r="B92" s="134" t="s">
        <v>199</v>
      </c>
      <c r="C92" s="134" t="s">
        <v>200</v>
      </c>
      <c r="D92" s="134"/>
      <c r="E92" s="134"/>
      <c r="F92" s="161"/>
    </row>
    <row r="93">
      <c r="A93" s="134">
        <v>92.0</v>
      </c>
      <c r="B93" s="134" t="s">
        <v>201</v>
      </c>
      <c r="C93" s="134" t="s">
        <v>202</v>
      </c>
      <c r="D93" s="134"/>
      <c r="E93" s="134"/>
      <c r="F93" s="161"/>
    </row>
    <row r="94">
      <c r="A94" s="134">
        <v>93.0</v>
      </c>
      <c r="B94" s="134" t="s">
        <v>204</v>
      </c>
      <c r="C94" s="135"/>
      <c r="D94" s="135"/>
      <c r="E94" s="135"/>
      <c r="F94" s="160"/>
    </row>
    <row r="95">
      <c r="A95" s="134">
        <v>94.0</v>
      </c>
      <c r="B95" s="134" t="s">
        <v>206</v>
      </c>
      <c r="C95" s="135"/>
      <c r="D95" s="135"/>
      <c r="E95" s="135"/>
      <c r="F95" s="160"/>
    </row>
    <row r="96">
      <c r="A96" s="134">
        <v>95.0</v>
      </c>
      <c r="B96" s="134" t="s">
        <v>207</v>
      </c>
      <c r="C96" s="135"/>
      <c r="D96" s="135"/>
      <c r="E96" s="135"/>
      <c r="F96" s="160"/>
    </row>
    <row r="97">
      <c r="A97" s="134">
        <v>96.0</v>
      </c>
      <c r="B97" s="134" t="s">
        <v>208</v>
      </c>
      <c r="C97" s="134" t="s">
        <v>209</v>
      </c>
      <c r="D97" s="134"/>
      <c r="E97" s="134"/>
      <c r="F97" s="161"/>
    </row>
    <row r="98">
      <c r="A98" s="134">
        <v>97.0</v>
      </c>
      <c r="B98" s="134" t="s">
        <v>210</v>
      </c>
      <c r="C98" s="134" t="s">
        <v>211</v>
      </c>
      <c r="D98" s="134"/>
      <c r="E98" s="134"/>
      <c r="F98" s="161"/>
    </row>
    <row r="99">
      <c r="A99" s="134">
        <v>98.0</v>
      </c>
      <c r="B99" s="134" t="s">
        <v>212</v>
      </c>
      <c r="C99" s="134" t="s">
        <v>213</v>
      </c>
      <c r="D99" s="134"/>
      <c r="E99" s="134"/>
      <c r="F99" s="161"/>
    </row>
    <row r="100">
      <c r="A100" s="134">
        <v>99.0</v>
      </c>
      <c r="B100" s="134" t="s">
        <v>214</v>
      </c>
      <c r="C100" s="134" t="s">
        <v>215</v>
      </c>
      <c r="D100" s="134"/>
      <c r="E100" s="134"/>
      <c r="F100" s="161"/>
    </row>
    <row r="101">
      <c r="A101" s="134">
        <v>100.0</v>
      </c>
      <c r="B101" s="134" t="s">
        <v>216</v>
      </c>
      <c r="C101" s="135" t="s">
        <v>217</v>
      </c>
      <c r="D101" s="135"/>
      <c r="E101" s="135"/>
      <c r="F101" s="160"/>
    </row>
    <row r="102">
      <c r="A102" s="134">
        <v>101.0</v>
      </c>
      <c r="B102" s="134" t="s">
        <v>218</v>
      </c>
      <c r="C102" s="134" t="s">
        <v>219</v>
      </c>
      <c r="D102" s="134"/>
      <c r="E102" s="134"/>
      <c r="F102" s="161"/>
    </row>
    <row r="103">
      <c r="A103" s="134">
        <v>102.0</v>
      </c>
      <c r="B103" s="134" t="s">
        <v>220</v>
      </c>
      <c r="C103" s="134" t="s">
        <v>221</v>
      </c>
      <c r="D103" s="134"/>
      <c r="E103" s="134"/>
      <c r="F103" s="161"/>
    </row>
    <row r="104">
      <c r="A104" s="134">
        <v>103.0</v>
      </c>
      <c r="B104" s="134" t="s">
        <v>222</v>
      </c>
      <c r="C104" s="134" t="s">
        <v>221</v>
      </c>
      <c r="D104" s="134"/>
      <c r="E104" s="134"/>
      <c r="F104" s="161"/>
    </row>
    <row r="105">
      <c r="A105" s="134">
        <v>104.0</v>
      </c>
      <c r="B105" s="134" t="s">
        <v>223</v>
      </c>
      <c r="C105" s="134" t="s">
        <v>224</v>
      </c>
      <c r="D105" s="134"/>
      <c r="E105" s="134"/>
      <c r="F105" s="161"/>
    </row>
    <row r="106">
      <c r="A106" s="134">
        <v>105.0</v>
      </c>
      <c r="B106" s="134" t="s">
        <v>225</v>
      </c>
      <c r="C106" s="135" t="s">
        <v>226</v>
      </c>
      <c r="D106" s="135"/>
      <c r="E106" s="135"/>
      <c r="F106" s="160"/>
    </row>
    <row r="107">
      <c r="A107" s="134">
        <v>106.0</v>
      </c>
      <c r="B107" s="134" t="s">
        <v>227</v>
      </c>
      <c r="C107" s="134" t="s">
        <v>228</v>
      </c>
      <c r="D107" s="134"/>
      <c r="E107" s="134"/>
      <c r="F107" s="161"/>
    </row>
    <row r="108">
      <c r="A108" s="134">
        <v>107.0</v>
      </c>
      <c r="B108" s="134" t="s">
        <v>229</v>
      </c>
      <c r="C108" s="134" t="s">
        <v>230</v>
      </c>
      <c r="D108" s="134"/>
      <c r="E108" s="134"/>
      <c r="F108" s="161"/>
    </row>
    <row r="109">
      <c r="A109" s="134">
        <v>108.0</v>
      </c>
      <c r="B109" s="134" t="s">
        <v>231</v>
      </c>
      <c r="C109" s="134" t="s">
        <v>232</v>
      </c>
      <c r="D109" s="134"/>
      <c r="E109" s="134"/>
      <c r="F109" s="161"/>
    </row>
    <row r="110">
      <c r="A110" s="134">
        <v>109.0</v>
      </c>
      <c r="B110" s="134" t="s">
        <v>233</v>
      </c>
      <c r="C110" s="135" t="s">
        <v>234</v>
      </c>
      <c r="D110" s="135"/>
      <c r="E110" s="135"/>
      <c r="F110" s="160"/>
    </row>
    <row r="111">
      <c r="A111" s="134">
        <v>110.0</v>
      </c>
      <c r="B111" s="134" t="s">
        <v>235</v>
      </c>
      <c r="C111" s="134" t="s">
        <v>90</v>
      </c>
      <c r="D111" s="134"/>
      <c r="E111" s="134"/>
      <c r="F111" s="161"/>
    </row>
    <row r="112">
      <c r="A112" s="134">
        <v>111.0</v>
      </c>
      <c r="B112" s="134" t="s">
        <v>237</v>
      </c>
      <c r="C112" s="134" t="s">
        <v>238</v>
      </c>
      <c r="D112" s="134"/>
      <c r="E112" s="134"/>
      <c r="F112" s="161"/>
    </row>
    <row r="113">
      <c r="A113" s="134">
        <v>112.0</v>
      </c>
      <c r="B113" s="134" t="s">
        <v>239</v>
      </c>
      <c r="C113" s="134" t="s">
        <v>240</v>
      </c>
      <c r="D113" s="134"/>
      <c r="E113" s="134"/>
      <c r="F113" s="161"/>
    </row>
    <row r="114">
      <c r="A114" s="134">
        <v>113.0</v>
      </c>
      <c r="B114" s="134" t="s">
        <v>241</v>
      </c>
      <c r="C114" s="134" t="s">
        <v>242</v>
      </c>
      <c r="D114" s="134"/>
      <c r="E114" s="134"/>
      <c r="F114" s="161"/>
    </row>
    <row r="115">
      <c r="A115" s="134">
        <v>114.0</v>
      </c>
      <c r="B115" s="134" t="s">
        <v>243</v>
      </c>
      <c r="C115" s="134" t="s">
        <v>244</v>
      </c>
      <c r="D115" s="134"/>
      <c r="E115" s="134"/>
      <c r="F115" s="161"/>
    </row>
    <row r="116">
      <c r="A116" s="134">
        <v>115.0</v>
      </c>
      <c r="B116" s="134" t="s">
        <v>245</v>
      </c>
      <c r="C116" s="135"/>
      <c r="D116" s="135"/>
      <c r="E116" s="135"/>
      <c r="F116" s="160"/>
    </row>
    <row r="117">
      <c r="A117" s="134">
        <v>116.0</v>
      </c>
      <c r="B117" s="134" t="s">
        <v>246</v>
      </c>
      <c r="C117" s="134" t="s">
        <v>247</v>
      </c>
      <c r="D117" s="134"/>
      <c r="E117" s="134"/>
      <c r="F117" s="161"/>
    </row>
    <row r="118">
      <c r="A118" s="134">
        <v>117.0</v>
      </c>
      <c r="B118" s="134" t="s">
        <v>248</v>
      </c>
      <c r="C118" s="136" t="s">
        <v>249</v>
      </c>
      <c r="D118" s="135" t="s">
        <v>624</v>
      </c>
      <c r="E118" s="136">
        <v>37880.0</v>
      </c>
      <c r="F118" s="162"/>
    </row>
    <row r="119">
      <c r="A119" s="134">
        <v>118.0</v>
      </c>
      <c r="B119" s="134" t="s">
        <v>250</v>
      </c>
      <c r="C119" s="135"/>
      <c r="D119" s="135"/>
      <c r="E119" s="135"/>
      <c r="F119" s="160"/>
    </row>
    <row r="120">
      <c r="A120" s="134">
        <v>119.0</v>
      </c>
      <c r="B120" s="134" t="s">
        <v>251</v>
      </c>
      <c r="C120" s="135" t="s">
        <v>252</v>
      </c>
      <c r="D120" s="134"/>
      <c r="E120" s="134"/>
      <c r="F120" s="161"/>
    </row>
    <row r="121">
      <c r="A121" s="134">
        <v>120.0</v>
      </c>
      <c r="B121" s="134" t="s">
        <v>253</v>
      </c>
      <c r="C121" s="135" t="s">
        <v>254</v>
      </c>
      <c r="D121" s="134"/>
      <c r="E121" s="134"/>
      <c r="F121" s="161"/>
    </row>
    <row r="122">
      <c r="A122" s="134">
        <v>121.0</v>
      </c>
      <c r="B122" s="134" t="s">
        <v>255</v>
      </c>
      <c r="C122" s="134" t="s">
        <v>256</v>
      </c>
      <c r="D122" s="134"/>
      <c r="E122" s="134"/>
      <c r="F122" s="161"/>
    </row>
    <row r="123">
      <c r="A123" s="134">
        <v>122.0</v>
      </c>
      <c r="B123" s="134" t="s">
        <v>257</v>
      </c>
      <c r="C123" s="134" t="s">
        <v>258</v>
      </c>
      <c r="D123" s="134"/>
      <c r="E123" s="134"/>
      <c r="F123" s="161"/>
    </row>
    <row r="124">
      <c r="A124" s="134">
        <v>123.0</v>
      </c>
      <c r="B124" s="134" t="s">
        <v>259</v>
      </c>
      <c r="C124" s="134" t="s">
        <v>260</v>
      </c>
      <c r="D124" s="134"/>
      <c r="E124" s="134"/>
      <c r="F124" s="161"/>
    </row>
    <row r="125">
      <c r="A125" s="134">
        <v>124.0</v>
      </c>
      <c r="B125" s="134" t="s">
        <v>261</v>
      </c>
      <c r="C125" s="134" t="s">
        <v>262</v>
      </c>
      <c r="D125" s="134"/>
      <c r="E125" s="134"/>
      <c r="F125" s="161"/>
    </row>
    <row r="126">
      <c r="A126" s="134">
        <v>125.0</v>
      </c>
      <c r="B126" s="134" t="s">
        <v>263</v>
      </c>
      <c r="C126" s="134" t="s">
        <v>264</v>
      </c>
      <c r="D126" s="134"/>
      <c r="E126" s="134"/>
      <c r="F126" s="161"/>
    </row>
    <row r="127">
      <c r="A127" s="134">
        <v>126.0</v>
      </c>
      <c r="B127" s="134" t="s">
        <v>265</v>
      </c>
      <c r="C127" s="135"/>
      <c r="D127" s="135"/>
      <c r="E127" s="135"/>
      <c r="F127" s="160"/>
    </row>
    <row r="128">
      <c r="A128" s="134">
        <v>127.0</v>
      </c>
      <c r="B128" s="134" t="s">
        <v>266</v>
      </c>
      <c r="C128" s="134" t="s">
        <v>267</v>
      </c>
      <c r="D128" s="135"/>
      <c r="E128" s="135"/>
      <c r="F128" s="160"/>
    </row>
    <row r="129">
      <c r="A129" s="134">
        <v>128.0</v>
      </c>
      <c r="B129" s="134" t="s">
        <v>269</v>
      </c>
      <c r="C129" s="134" t="s">
        <v>270</v>
      </c>
      <c r="D129" s="134"/>
      <c r="E129" s="134"/>
      <c r="F129" s="161"/>
    </row>
    <row r="130">
      <c r="A130" s="134">
        <v>129.0</v>
      </c>
      <c r="B130" s="134" t="s">
        <v>271</v>
      </c>
      <c r="C130" s="134" t="s">
        <v>272</v>
      </c>
      <c r="D130" s="134"/>
      <c r="E130" s="134"/>
      <c r="F130" s="161"/>
    </row>
    <row r="131">
      <c r="A131" s="134">
        <v>130.0</v>
      </c>
      <c r="B131" s="134" t="s">
        <v>273</v>
      </c>
      <c r="C131" s="134" t="s">
        <v>274</v>
      </c>
      <c r="D131" s="134"/>
      <c r="E131" s="134"/>
      <c r="F131" s="161"/>
    </row>
    <row r="132">
      <c r="A132" s="134">
        <v>131.0</v>
      </c>
      <c r="B132" s="134" t="s">
        <v>275</v>
      </c>
      <c r="C132" s="134" t="s">
        <v>276</v>
      </c>
      <c r="D132" s="134"/>
      <c r="E132" s="134"/>
      <c r="F132" s="161"/>
    </row>
    <row r="133">
      <c r="A133" s="134">
        <v>132.0</v>
      </c>
      <c r="B133" s="134" t="s">
        <v>277</v>
      </c>
      <c r="C133" s="135" t="s">
        <v>278</v>
      </c>
      <c r="D133" s="135"/>
      <c r="E133" s="135"/>
      <c r="F133" s="160"/>
    </row>
    <row r="134">
      <c r="A134" s="134">
        <v>133.0</v>
      </c>
      <c r="B134" s="134" t="s">
        <v>279</v>
      </c>
      <c r="C134" s="135"/>
      <c r="D134" s="135"/>
      <c r="E134" s="135"/>
      <c r="F134" s="160"/>
    </row>
    <row r="135">
      <c r="A135" s="134">
        <v>134.0</v>
      </c>
      <c r="B135" s="134" t="s">
        <v>280</v>
      </c>
      <c r="C135" s="134" t="s">
        <v>281</v>
      </c>
      <c r="D135" s="134"/>
      <c r="E135" s="134"/>
      <c r="F135" s="161"/>
    </row>
    <row r="136">
      <c r="A136" s="134">
        <v>135.0</v>
      </c>
      <c r="B136" s="134" t="s">
        <v>282</v>
      </c>
      <c r="C136" s="135" t="s">
        <v>281</v>
      </c>
      <c r="D136" s="135"/>
      <c r="E136" s="135"/>
      <c r="F136" s="160"/>
    </row>
    <row r="137">
      <c r="A137" s="134">
        <v>136.0</v>
      </c>
      <c r="B137" s="134" t="s">
        <v>283</v>
      </c>
      <c r="C137" s="134" t="s">
        <v>284</v>
      </c>
      <c r="D137" s="134"/>
      <c r="E137" s="134"/>
      <c r="F137" s="161"/>
    </row>
    <row r="138">
      <c r="A138" s="134">
        <v>137.0</v>
      </c>
      <c r="B138" s="134" t="s">
        <v>285</v>
      </c>
      <c r="C138" s="134" t="s">
        <v>286</v>
      </c>
      <c r="D138" s="134"/>
      <c r="E138" s="134"/>
      <c r="F138" s="161"/>
    </row>
    <row r="139">
      <c r="A139" s="134">
        <v>138.0</v>
      </c>
      <c r="B139" s="134" t="s">
        <v>287</v>
      </c>
      <c r="C139" s="134" t="s">
        <v>288</v>
      </c>
      <c r="D139" s="134"/>
      <c r="E139" s="134"/>
      <c r="F139" s="161"/>
    </row>
    <row r="140">
      <c r="A140" s="134">
        <v>139.0</v>
      </c>
      <c r="B140" s="134" t="s">
        <v>289</v>
      </c>
      <c r="C140" s="134" t="s">
        <v>290</v>
      </c>
      <c r="D140" s="134"/>
      <c r="E140" s="134"/>
      <c r="F140" s="161"/>
    </row>
    <row r="141">
      <c r="A141" s="134">
        <v>140.0</v>
      </c>
      <c r="B141" s="134" t="s">
        <v>291</v>
      </c>
      <c r="C141" s="135" t="s">
        <v>292</v>
      </c>
      <c r="D141" s="135"/>
      <c r="E141" s="135"/>
      <c r="F141" s="160"/>
    </row>
    <row r="142">
      <c r="A142" s="134">
        <v>141.0</v>
      </c>
      <c r="B142" s="134" t="s">
        <v>293</v>
      </c>
      <c r="C142" s="135" t="s">
        <v>294</v>
      </c>
      <c r="D142" s="135"/>
      <c r="E142" s="135"/>
      <c r="F142" s="160"/>
    </row>
    <row r="143">
      <c r="A143" s="134">
        <v>142.0</v>
      </c>
      <c r="B143" s="134" t="s">
        <v>295</v>
      </c>
      <c r="C143" s="135"/>
      <c r="D143" s="135"/>
      <c r="E143" s="135"/>
      <c r="F143" s="160"/>
    </row>
    <row r="144">
      <c r="A144" s="134">
        <v>143.0</v>
      </c>
      <c r="B144" s="134" t="s">
        <v>296</v>
      </c>
      <c r="C144" s="135"/>
      <c r="D144" s="135"/>
      <c r="E144" s="135"/>
      <c r="F144" s="160"/>
    </row>
    <row r="145">
      <c r="A145" s="134">
        <v>144.0</v>
      </c>
      <c r="B145" s="134" t="s">
        <v>297</v>
      </c>
      <c r="C145" s="135"/>
      <c r="D145" s="135"/>
      <c r="E145" s="135"/>
      <c r="F145" s="160"/>
    </row>
    <row r="146">
      <c r="A146" s="134">
        <v>145.0</v>
      </c>
      <c r="B146" s="134" t="s">
        <v>298</v>
      </c>
      <c r="C146" s="135" t="s">
        <v>299</v>
      </c>
      <c r="D146" s="135"/>
      <c r="E146" s="135"/>
      <c r="F146" s="160"/>
    </row>
    <row r="147">
      <c r="A147" s="134">
        <v>146.0</v>
      </c>
      <c r="B147" s="134" t="s">
        <v>300</v>
      </c>
      <c r="C147" s="135" t="s">
        <v>301</v>
      </c>
      <c r="D147" s="135"/>
      <c r="E147" s="135"/>
      <c r="F147" s="160"/>
    </row>
    <row r="148">
      <c r="A148" s="134">
        <v>147.0</v>
      </c>
      <c r="B148" s="134" t="s">
        <v>302</v>
      </c>
      <c r="C148" s="134" t="s">
        <v>303</v>
      </c>
      <c r="D148" s="134"/>
      <c r="E148" s="134"/>
      <c r="F148" s="161"/>
    </row>
    <row r="149">
      <c r="A149" s="134">
        <v>148.0</v>
      </c>
      <c r="B149" s="134" t="s">
        <v>305</v>
      </c>
      <c r="C149" s="135" t="s">
        <v>306</v>
      </c>
      <c r="D149" s="135"/>
      <c r="E149" s="135"/>
      <c r="F149" s="160"/>
    </row>
    <row r="150">
      <c r="A150" s="134">
        <v>149.0</v>
      </c>
      <c r="B150" s="134" t="s">
        <v>308</v>
      </c>
      <c r="C150" s="135"/>
      <c r="D150" s="135"/>
      <c r="E150" s="135"/>
      <c r="F150" s="160"/>
    </row>
    <row r="151">
      <c r="A151" s="134">
        <v>150.0</v>
      </c>
      <c r="B151" s="134" t="s">
        <v>309</v>
      </c>
      <c r="C151" s="135"/>
      <c r="D151" s="135"/>
      <c r="E151" s="135"/>
      <c r="F151" s="160"/>
    </row>
    <row r="152">
      <c r="A152" s="134">
        <v>151.0</v>
      </c>
      <c r="B152" s="134" t="s">
        <v>310</v>
      </c>
      <c r="C152" s="135"/>
      <c r="D152" s="135"/>
      <c r="E152" s="135"/>
      <c r="F152" s="160"/>
    </row>
    <row r="153">
      <c r="A153" s="134">
        <v>152.0</v>
      </c>
      <c r="B153" s="134" t="s">
        <v>311</v>
      </c>
      <c r="C153" s="135"/>
      <c r="D153" s="135"/>
      <c r="E153" s="135"/>
      <c r="F153" s="160"/>
    </row>
    <row r="154">
      <c r="A154" s="134">
        <v>153.0</v>
      </c>
      <c r="B154" s="134" t="s">
        <v>312</v>
      </c>
      <c r="C154" s="135" t="s">
        <v>313</v>
      </c>
      <c r="D154" s="135"/>
      <c r="E154" s="135"/>
      <c r="F154" s="160"/>
    </row>
    <row r="155">
      <c r="A155" s="134">
        <v>154.0</v>
      </c>
      <c r="B155" s="134" t="s">
        <v>314</v>
      </c>
      <c r="C155" s="135"/>
      <c r="D155" s="135"/>
      <c r="E155" s="135"/>
      <c r="F155" s="160"/>
    </row>
    <row r="156">
      <c r="A156" s="134">
        <v>155.0</v>
      </c>
      <c r="B156" s="134" t="s">
        <v>315</v>
      </c>
      <c r="C156" s="134" t="s">
        <v>316</v>
      </c>
      <c r="D156" s="134"/>
      <c r="E156" s="134"/>
      <c r="F156" s="161"/>
    </row>
    <row r="157">
      <c r="A157" s="134">
        <v>156.0</v>
      </c>
      <c r="B157" s="134" t="s">
        <v>317</v>
      </c>
      <c r="C157" s="134" t="s">
        <v>318</v>
      </c>
      <c r="D157" s="134"/>
      <c r="E157" s="134"/>
      <c r="F157" s="161"/>
    </row>
    <row r="158">
      <c r="A158" s="134">
        <v>157.0</v>
      </c>
      <c r="B158" s="134" t="s">
        <v>319</v>
      </c>
      <c r="C158" s="134" t="s">
        <v>320</v>
      </c>
      <c r="D158" s="134"/>
      <c r="E158" s="134"/>
      <c r="F158" s="161"/>
    </row>
    <row r="159">
      <c r="A159" s="134">
        <v>158.0</v>
      </c>
      <c r="B159" s="134" t="s">
        <v>321</v>
      </c>
      <c r="C159" s="134" t="s">
        <v>322</v>
      </c>
      <c r="D159" s="134"/>
      <c r="E159" s="134"/>
      <c r="F159" s="161"/>
    </row>
    <row r="160">
      <c r="A160" s="134">
        <v>159.0</v>
      </c>
      <c r="B160" s="134" t="s">
        <v>323</v>
      </c>
      <c r="C160" s="134" t="s">
        <v>324</v>
      </c>
      <c r="D160" s="134"/>
      <c r="E160" s="134"/>
      <c r="F160" s="161"/>
    </row>
    <row r="161">
      <c r="A161" s="134">
        <v>160.0</v>
      </c>
      <c r="B161" s="134" t="s">
        <v>325</v>
      </c>
      <c r="C161" s="134" t="s">
        <v>326</v>
      </c>
      <c r="D161" s="134"/>
      <c r="E161" s="134"/>
      <c r="F161" s="161"/>
    </row>
    <row r="162">
      <c r="A162" s="134">
        <v>161.0</v>
      </c>
      <c r="B162" s="134" t="s">
        <v>327</v>
      </c>
      <c r="C162" s="135" t="s">
        <v>328</v>
      </c>
      <c r="D162" s="135"/>
      <c r="E162" s="135"/>
      <c r="F162" s="160"/>
    </row>
    <row r="163">
      <c r="A163" s="134">
        <v>162.0</v>
      </c>
      <c r="B163" s="134" t="s">
        <v>329</v>
      </c>
      <c r="C163" s="134" t="s">
        <v>330</v>
      </c>
      <c r="D163" s="134"/>
      <c r="E163" s="134"/>
      <c r="F163" s="161"/>
    </row>
    <row r="164">
      <c r="A164" s="134">
        <v>163.0</v>
      </c>
      <c r="B164" s="134" t="s">
        <v>331</v>
      </c>
      <c r="C164" s="135" t="s">
        <v>332</v>
      </c>
      <c r="D164" s="135"/>
      <c r="E164" s="135"/>
      <c r="F164" s="160"/>
    </row>
    <row r="165">
      <c r="A165" s="134">
        <v>164.0</v>
      </c>
      <c r="B165" s="134" t="s">
        <v>333</v>
      </c>
      <c r="C165" s="134" t="s">
        <v>334</v>
      </c>
      <c r="D165" s="134"/>
      <c r="E165" s="134"/>
      <c r="F165" s="161"/>
    </row>
    <row r="166">
      <c r="A166" s="134">
        <v>165.0</v>
      </c>
      <c r="B166" s="134" t="s">
        <v>335</v>
      </c>
      <c r="C166" s="135" t="s">
        <v>336</v>
      </c>
      <c r="D166" s="135"/>
      <c r="E166" s="135"/>
      <c r="F166" s="160"/>
    </row>
    <row r="167">
      <c r="A167" s="134">
        <v>166.0</v>
      </c>
      <c r="B167" s="134" t="s">
        <v>337</v>
      </c>
      <c r="C167" s="135" t="s">
        <v>338</v>
      </c>
      <c r="D167" s="135"/>
      <c r="E167" s="135"/>
      <c r="F167" s="160"/>
    </row>
    <row r="168">
      <c r="A168" s="134">
        <v>167.0</v>
      </c>
      <c r="B168" s="134" t="s">
        <v>339</v>
      </c>
      <c r="C168" s="134" t="s">
        <v>340</v>
      </c>
      <c r="D168" s="134"/>
      <c r="E168" s="134"/>
      <c r="F168" s="161"/>
    </row>
    <row r="169">
      <c r="A169" s="134">
        <v>168.0</v>
      </c>
      <c r="B169" s="134" t="s">
        <v>341</v>
      </c>
      <c r="C169" s="134" t="s">
        <v>342</v>
      </c>
      <c r="D169" s="134"/>
      <c r="E169" s="134"/>
      <c r="F169" s="161"/>
    </row>
    <row r="170">
      <c r="A170" s="134">
        <v>169.0</v>
      </c>
      <c r="B170" s="134" t="s">
        <v>343</v>
      </c>
      <c r="C170" s="134" t="s">
        <v>344</v>
      </c>
      <c r="D170" s="134"/>
      <c r="E170" s="134"/>
      <c r="F170" s="161"/>
    </row>
    <row r="171">
      <c r="A171" s="134">
        <v>170.0</v>
      </c>
      <c r="B171" s="134" t="s">
        <v>345</v>
      </c>
      <c r="C171" s="134" t="s">
        <v>346</v>
      </c>
      <c r="D171" s="134"/>
      <c r="E171" s="134"/>
      <c r="F171" s="161"/>
    </row>
    <row r="172">
      <c r="A172" s="134">
        <v>171.0</v>
      </c>
      <c r="B172" s="134" t="s">
        <v>348</v>
      </c>
      <c r="C172" s="135" t="s">
        <v>349</v>
      </c>
      <c r="D172" s="135"/>
      <c r="E172" s="135"/>
      <c r="F172" s="160"/>
    </row>
    <row r="173">
      <c r="A173" s="134">
        <v>172.0</v>
      </c>
      <c r="B173" s="134" t="s">
        <v>350</v>
      </c>
      <c r="C173" s="135"/>
      <c r="D173" s="135"/>
      <c r="E173" s="135"/>
      <c r="F173" s="160"/>
    </row>
    <row r="174">
      <c r="A174" s="134">
        <v>173.0</v>
      </c>
      <c r="B174" s="134" t="s">
        <v>351</v>
      </c>
      <c r="C174" s="134" t="s">
        <v>352</v>
      </c>
      <c r="D174" s="134"/>
      <c r="E174" s="134"/>
      <c r="F174" s="161"/>
    </row>
    <row r="175">
      <c r="A175" s="134">
        <v>174.0</v>
      </c>
      <c r="B175" s="134" t="s">
        <v>353</v>
      </c>
      <c r="C175" s="134" t="s">
        <v>354</v>
      </c>
      <c r="D175" s="134"/>
      <c r="E175" s="134"/>
      <c r="F175" s="161"/>
    </row>
    <row r="176">
      <c r="A176" s="134">
        <v>175.0</v>
      </c>
      <c r="B176" s="134" t="s">
        <v>355</v>
      </c>
      <c r="C176" s="134" t="s">
        <v>356</v>
      </c>
      <c r="D176" s="134"/>
      <c r="E176" s="134"/>
      <c r="F176" s="161"/>
    </row>
    <row r="177">
      <c r="A177" s="134">
        <v>176.0</v>
      </c>
      <c r="B177" s="134" t="s">
        <v>357</v>
      </c>
      <c r="C177" s="134" t="s">
        <v>358</v>
      </c>
      <c r="D177" s="134"/>
      <c r="E177" s="134"/>
      <c r="F177" s="161"/>
    </row>
    <row r="178">
      <c r="A178" s="134">
        <v>177.0</v>
      </c>
      <c r="B178" s="134" t="s">
        <v>359</v>
      </c>
      <c r="C178" s="134" t="s">
        <v>360</v>
      </c>
      <c r="D178" s="134"/>
      <c r="E178" s="134"/>
      <c r="F178" s="161"/>
    </row>
    <row r="179">
      <c r="A179" s="134">
        <v>178.0</v>
      </c>
      <c r="B179" s="134" t="s">
        <v>361</v>
      </c>
      <c r="C179" s="134" t="s">
        <v>362</v>
      </c>
      <c r="D179" s="136"/>
      <c r="E179" s="136"/>
      <c r="F179" s="162"/>
    </row>
    <row r="180">
      <c r="A180" s="134">
        <v>179.0</v>
      </c>
      <c r="B180" s="134" t="s">
        <v>363</v>
      </c>
      <c r="C180" s="134" t="s">
        <v>364</v>
      </c>
      <c r="D180" s="134"/>
      <c r="E180" s="134"/>
      <c r="F180" s="161"/>
    </row>
    <row r="181">
      <c r="A181" s="134">
        <v>180.0</v>
      </c>
      <c r="B181" s="134" t="s">
        <v>365</v>
      </c>
      <c r="C181" s="134" t="s">
        <v>366</v>
      </c>
      <c r="D181" s="134"/>
      <c r="E181" s="134"/>
      <c r="F181" s="161"/>
    </row>
    <row r="182">
      <c r="A182" s="134">
        <v>181.0</v>
      </c>
      <c r="B182" s="134" t="s">
        <v>367</v>
      </c>
      <c r="C182" s="134" t="s">
        <v>368</v>
      </c>
      <c r="D182" s="134"/>
      <c r="E182" s="134"/>
      <c r="F182" s="161"/>
    </row>
    <row r="183">
      <c r="A183" s="134">
        <v>182.0</v>
      </c>
      <c r="B183" s="134" t="s">
        <v>369</v>
      </c>
      <c r="C183" s="134" t="s">
        <v>370</v>
      </c>
      <c r="D183" s="134"/>
      <c r="E183" s="134"/>
      <c r="F183" s="161"/>
    </row>
    <row r="184">
      <c r="A184" s="134">
        <v>183.0</v>
      </c>
      <c r="B184" s="134" t="s">
        <v>371</v>
      </c>
      <c r="C184" s="135" t="s">
        <v>372</v>
      </c>
      <c r="D184" s="135"/>
      <c r="E184" s="135"/>
      <c r="F184" s="160"/>
    </row>
    <row r="185">
      <c r="A185" s="134">
        <v>184.0</v>
      </c>
      <c r="B185" s="134" t="s">
        <v>373</v>
      </c>
      <c r="C185" s="134" t="s">
        <v>374</v>
      </c>
      <c r="D185" s="134"/>
      <c r="E185" s="134"/>
      <c r="F185" s="161"/>
    </row>
    <row r="186">
      <c r="A186" s="134">
        <v>185.0</v>
      </c>
      <c r="B186" s="134" t="s">
        <v>375</v>
      </c>
      <c r="C186" s="134" t="s">
        <v>376</v>
      </c>
      <c r="D186" s="134"/>
      <c r="E186" s="134"/>
      <c r="F186" s="161"/>
    </row>
    <row r="187">
      <c r="A187" s="134">
        <v>186.0</v>
      </c>
      <c r="B187" s="134" t="s">
        <v>377</v>
      </c>
      <c r="C187" s="134" t="s">
        <v>378</v>
      </c>
      <c r="D187" s="134"/>
      <c r="E187" s="134"/>
      <c r="F187" s="161"/>
    </row>
    <row r="188">
      <c r="A188" s="134">
        <v>187.0</v>
      </c>
      <c r="B188" s="134" t="s">
        <v>379</v>
      </c>
      <c r="C188" s="134" t="s">
        <v>380</v>
      </c>
      <c r="D188" s="134"/>
      <c r="E188" s="134"/>
      <c r="F188" s="161"/>
    </row>
    <row r="189">
      <c r="A189" s="134">
        <v>188.0</v>
      </c>
      <c r="B189" s="134" t="s">
        <v>381</v>
      </c>
      <c r="C189" s="135"/>
      <c r="D189" s="135"/>
      <c r="E189" s="135"/>
      <c r="F189" s="160"/>
    </row>
    <row r="190">
      <c r="A190" s="134">
        <v>189.0</v>
      </c>
      <c r="B190" s="134" t="s">
        <v>382</v>
      </c>
      <c r="C190" s="134" t="s">
        <v>383</v>
      </c>
      <c r="D190" s="134"/>
      <c r="E190" s="134"/>
      <c r="F190" s="161"/>
    </row>
    <row r="191">
      <c r="A191" s="134">
        <v>190.0</v>
      </c>
      <c r="B191" s="134" t="s">
        <v>384</v>
      </c>
      <c r="C191" s="135" t="s">
        <v>385</v>
      </c>
      <c r="D191" s="134"/>
      <c r="E191" s="134"/>
      <c r="F191" s="161"/>
    </row>
    <row r="192">
      <c r="A192" s="134">
        <v>191.0</v>
      </c>
      <c r="B192" s="134" t="s">
        <v>386</v>
      </c>
      <c r="C192" s="134" t="s">
        <v>387</v>
      </c>
      <c r="D192" s="134"/>
      <c r="E192" s="134"/>
      <c r="F192" s="161"/>
    </row>
    <row r="193">
      <c r="A193" s="134">
        <v>192.0</v>
      </c>
      <c r="B193" s="134" t="s">
        <v>388</v>
      </c>
      <c r="C193" s="134" t="s">
        <v>389</v>
      </c>
      <c r="D193" s="134"/>
      <c r="E193" s="134"/>
      <c r="F193" s="161"/>
    </row>
    <row r="194">
      <c r="A194" s="134">
        <v>193.0</v>
      </c>
      <c r="B194" s="134" t="s">
        <v>390</v>
      </c>
      <c r="C194" s="134" t="s">
        <v>391</v>
      </c>
      <c r="D194" s="134"/>
      <c r="E194" s="134"/>
      <c r="F194" s="161"/>
    </row>
    <row r="195">
      <c r="A195" s="134">
        <v>194.0</v>
      </c>
      <c r="B195" s="134" t="s">
        <v>392</v>
      </c>
      <c r="C195" s="135" t="s">
        <v>393</v>
      </c>
      <c r="D195" s="135"/>
      <c r="E195" s="135"/>
      <c r="F195" s="160"/>
    </row>
    <row r="196">
      <c r="A196" s="134">
        <v>195.0</v>
      </c>
      <c r="B196" s="134" t="s">
        <v>394</v>
      </c>
      <c r="C196" s="135" t="s">
        <v>395</v>
      </c>
      <c r="D196" s="135"/>
      <c r="E196" s="135"/>
      <c r="F196" s="160"/>
    </row>
    <row r="197">
      <c r="A197" s="134">
        <v>196.0</v>
      </c>
      <c r="B197" s="134" t="s">
        <v>396</v>
      </c>
      <c r="C197" s="134" t="s">
        <v>397</v>
      </c>
      <c r="D197" s="134"/>
      <c r="E197" s="134"/>
      <c r="F197" s="161"/>
    </row>
    <row r="198">
      <c r="A198" s="134">
        <v>197.0</v>
      </c>
      <c r="B198" s="134" t="s">
        <v>398</v>
      </c>
      <c r="C198" s="135"/>
      <c r="D198" s="135"/>
      <c r="E198" s="135"/>
      <c r="F198" s="160"/>
    </row>
    <row r="199">
      <c r="A199" s="134">
        <v>198.0</v>
      </c>
      <c r="B199" s="134" t="s">
        <v>399</v>
      </c>
      <c r="C199" s="134" t="s">
        <v>400</v>
      </c>
      <c r="D199" s="134"/>
      <c r="E199" s="134"/>
      <c r="F199" s="161"/>
    </row>
    <row r="200">
      <c r="A200" s="134">
        <v>199.0</v>
      </c>
      <c r="B200" s="134" t="s">
        <v>401</v>
      </c>
      <c r="C200" s="135" t="s">
        <v>402</v>
      </c>
      <c r="D200" s="135"/>
      <c r="E200" s="135"/>
      <c r="F200" s="160"/>
    </row>
    <row r="201">
      <c r="A201" s="134">
        <v>200.0</v>
      </c>
      <c r="B201" s="134" t="s">
        <v>403</v>
      </c>
      <c r="C201" s="134" t="s">
        <v>404</v>
      </c>
      <c r="D201" s="134"/>
      <c r="E201" s="134"/>
      <c r="F201" s="161"/>
    </row>
    <row r="202">
      <c r="A202" s="134">
        <v>201.0</v>
      </c>
      <c r="B202" s="134" t="s">
        <v>405</v>
      </c>
      <c r="C202" s="134" t="s">
        <v>406</v>
      </c>
      <c r="D202" s="134"/>
      <c r="E202" s="134"/>
      <c r="F202" s="161"/>
    </row>
    <row r="203">
      <c r="A203" s="134">
        <v>202.0</v>
      </c>
      <c r="B203" s="134" t="s">
        <v>407</v>
      </c>
      <c r="C203" s="134" t="s">
        <v>408</v>
      </c>
      <c r="D203" s="134"/>
      <c r="E203" s="134"/>
      <c r="F203" s="161"/>
    </row>
    <row r="204">
      <c r="A204" s="134">
        <v>203.0</v>
      </c>
      <c r="B204" s="134" t="s">
        <v>409</v>
      </c>
      <c r="C204" s="135" t="s">
        <v>410</v>
      </c>
      <c r="D204" s="134"/>
      <c r="E204" s="134"/>
      <c r="F204" s="161"/>
    </row>
    <row r="205">
      <c r="A205" s="134">
        <v>204.0</v>
      </c>
      <c r="B205" s="134" t="s">
        <v>411</v>
      </c>
      <c r="C205" s="135" t="s">
        <v>412</v>
      </c>
      <c r="D205" s="134"/>
      <c r="E205" s="134"/>
      <c r="F205" s="161"/>
    </row>
    <row r="206">
      <c r="A206" s="134">
        <v>205.0</v>
      </c>
      <c r="B206" s="134" t="s">
        <v>413</v>
      </c>
      <c r="C206" s="135" t="s">
        <v>414</v>
      </c>
      <c r="D206" s="135"/>
      <c r="E206" s="135"/>
      <c r="F206" s="160"/>
    </row>
    <row r="207">
      <c r="A207" s="134">
        <v>206.0</v>
      </c>
      <c r="B207" s="134" t="s">
        <v>415</v>
      </c>
      <c r="C207" s="134" t="s">
        <v>416</v>
      </c>
      <c r="D207" s="134"/>
      <c r="E207" s="134"/>
      <c r="F207" s="161"/>
    </row>
    <row r="208">
      <c r="A208" s="134">
        <v>207.0</v>
      </c>
      <c r="B208" s="134" t="s">
        <v>417</v>
      </c>
      <c r="C208" s="135" t="s">
        <v>418</v>
      </c>
      <c r="D208" s="135"/>
      <c r="E208" s="135"/>
      <c r="F208" s="160"/>
    </row>
    <row r="209">
      <c r="A209" s="134">
        <v>208.0</v>
      </c>
      <c r="B209" s="134" t="s">
        <v>419</v>
      </c>
      <c r="C209" s="134" t="s">
        <v>420</v>
      </c>
      <c r="D209" s="134"/>
      <c r="E209" s="134"/>
      <c r="F209" s="161"/>
    </row>
    <row r="210">
      <c r="A210" s="134">
        <v>209.0</v>
      </c>
      <c r="B210" s="134" t="s">
        <v>421</v>
      </c>
      <c r="C210" s="134" t="s">
        <v>422</v>
      </c>
      <c r="D210" s="134"/>
      <c r="E210" s="134"/>
      <c r="F210" s="161"/>
    </row>
    <row r="211">
      <c r="A211" s="134">
        <v>210.0</v>
      </c>
      <c r="B211" s="134" t="s">
        <v>423</v>
      </c>
      <c r="C211" s="134" t="s">
        <v>424</v>
      </c>
      <c r="D211" s="134"/>
      <c r="E211" s="134"/>
      <c r="F211" s="161"/>
    </row>
    <row r="212">
      <c r="A212" s="134">
        <v>211.0</v>
      </c>
      <c r="B212" s="134" t="s">
        <v>425</v>
      </c>
      <c r="C212" s="134" t="s">
        <v>426</v>
      </c>
      <c r="D212" s="134"/>
      <c r="E212" s="134"/>
      <c r="F212" s="161"/>
    </row>
    <row r="213">
      <c r="A213" s="134">
        <v>212.0</v>
      </c>
      <c r="B213" s="134" t="s">
        <v>427</v>
      </c>
      <c r="C213" s="134" t="s">
        <v>428</v>
      </c>
      <c r="D213" s="134"/>
      <c r="E213" s="134"/>
      <c r="F213" s="161"/>
    </row>
    <row r="214">
      <c r="A214" s="134">
        <v>213.0</v>
      </c>
      <c r="B214" s="134" t="s">
        <v>429</v>
      </c>
      <c r="C214" s="135"/>
      <c r="D214" s="135"/>
      <c r="E214" s="135"/>
      <c r="F214" s="160"/>
    </row>
    <row r="215">
      <c r="A215" s="134">
        <v>214.0</v>
      </c>
      <c r="B215" s="134" t="s">
        <v>430</v>
      </c>
      <c r="C215" s="134" t="s">
        <v>431</v>
      </c>
      <c r="D215" s="134"/>
      <c r="E215" s="134"/>
      <c r="F215" s="161"/>
    </row>
    <row r="216">
      <c r="A216" s="134">
        <v>215.0</v>
      </c>
      <c r="B216" s="134" t="s">
        <v>432</v>
      </c>
      <c r="C216" s="134" t="s">
        <v>433</v>
      </c>
      <c r="D216" s="134"/>
      <c r="E216" s="134"/>
      <c r="F216" s="161"/>
    </row>
    <row r="217">
      <c r="A217" s="134">
        <v>216.0</v>
      </c>
      <c r="B217" s="134" t="s">
        <v>434</v>
      </c>
      <c r="C217" s="134" t="s">
        <v>435</v>
      </c>
      <c r="D217" s="134"/>
      <c r="E217" s="134"/>
      <c r="F217" s="161"/>
    </row>
    <row r="218">
      <c r="A218" s="134">
        <v>217.0</v>
      </c>
      <c r="B218" s="134" t="s">
        <v>436</v>
      </c>
      <c r="C218" s="134" t="s">
        <v>437</v>
      </c>
      <c r="D218" s="134"/>
      <c r="E218" s="134"/>
      <c r="F218" s="161"/>
    </row>
    <row r="219">
      <c r="A219" s="134">
        <v>218.0</v>
      </c>
      <c r="B219" s="134" t="s">
        <v>438</v>
      </c>
      <c r="C219" s="134" t="s">
        <v>439</v>
      </c>
      <c r="D219" s="134"/>
      <c r="E219" s="134"/>
      <c r="F219" s="161"/>
    </row>
    <row r="220">
      <c r="A220" s="134">
        <v>219.0</v>
      </c>
      <c r="B220" s="134" t="s">
        <v>440</v>
      </c>
      <c r="C220" s="134" t="s">
        <v>441</v>
      </c>
      <c r="D220" s="134"/>
      <c r="E220" s="134"/>
      <c r="F220" s="161"/>
    </row>
    <row r="221">
      <c r="A221" s="134">
        <v>220.0</v>
      </c>
      <c r="B221" s="134" t="s">
        <v>442</v>
      </c>
      <c r="C221" s="134" t="s">
        <v>443</v>
      </c>
      <c r="D221" s="134"/>
      <c r="E221" s="134"/>
      <c r="F221" s="161"/>
    </row>
    <row r="222">
      <c r="A222" s="134">
        <v>221.0</v>
      </c>
      <c r="B222" s="134" t="s">
        <v>444</v>
      </c>
      <c r="C222" s="134" t="s">
        <v>445</v>
      </c>
      <c r="D222" s="134"/>
      <c r="E222" s="134"/>
      <c r="F222" s="161"/>
    </row>
    <row r="223">
      <c r="A223" s="134">
        <v>222.0</v>
      </c>
      <c r="B223" s="134" t="s">
        <v>446</v>
      </c>
      <c r="C223" s="134" t="s">
        <v>447</v>
      </c>
      <c r="D223" s="134"/>
      <c r="E223" s="134"/>
      <c r="F223" s="161"/>
    </row>
    <row r="224">
      <c r="A224" s="134">
        <v>223.0</v>
      </c>
      <c r="B224" s="134" t="s">
        <v>448</v>
      </c>
      <c r="C224" s="135" t="s">
        <v>449</v>
      </c>
      <c r="D224" s="135"/>
      <c r="E224" s="135"/>
      <c r="F224" s="160"/>
    </row>
    <row r="225">
      <c r="A225" s="134">
        <v>224.0</v>
      </c>
      <c r="B225" s="134" t="s">
        <v>450</v>
      </c>
      <c r="C225" s="135" t="s">
        <v>451</v>
      </c>
      <c r="D225" s="135"/>
      <c r="E225" s="135"/>
      <c r="F225" s="160"/>
    </row>
    <row r="226">
      <c r="A226" s="134">
        <v>225.0</v>
      </c>
      <c r="B226" s="134" t="s">
        <v>452</v>
      </c>
      <c r="C226" s="134" t="s">
        <v>453</v>
      </c>
      <c r="D226" s="134"/>
      <c r="E226" s="134"/>
      <c r="F226" s="161"/>
    </row>
    <row r="227">
      <c r="A227" s="134">
        <v>226.0</v>
      </c>
      <c r="B227" s="134" t="s">
        <v>454</v>
      </c>
      <c r="C227" s="134" t="s">
        <v>455</v>
      </c>
      <c r="D227" s="134"/>
      <c r="E227" s="134"/>
      <c r="F227" s="161"/>
    </row>
    <row r="228">
      <c r="A228" s="134">
        <v>227.0</v>
      </c>
      <c r="B228" s="134" t="s">
        <v>456</v>
      </c>
      <c r="C228" s="134" t="s">
        <v>457</v>
      </c>
      <c r="D228" s="134"/>
      <c r="E228" s="134"/>
      <c r="F228" s="161"/>
    </row>
    <row r="229">
      <c r="A229" s="134">
        <v>228.0</v>
      </c>
      <c r="B229" s="134" t="s">
        <v>458</v>
      </c>
      <c r="C229" s="134" t="s">
        <v>457</v>
      </c>
      <c r="D229" s="134"/>
      <c r="E229" s="134"/>
      <c r="F229" s="161"/>
    </row>
    <row r="230">
      <c r="A230" s="134">
        <v>229.0</v>
      </c>
      <c r="B230" s="134" t="s">
        <v>459</v>
      </c>
      <c r="C230" s="134" t="s">
        <v>460</v>
      </c>
      <c r="D230" s="134"/>
      <c r="E230" s="134"/>
      <c r="F230" s="161"/>
    </row>
    <row r="231">
      <c r="A231" s="134">
        <v>230.0</v>
      </c>
      <c r="B231" s="134" t="s">
        <v>461</v>
      </c>
      <c r="C231" s="134" t="s">
        <v>462</v>
      </c>
      <c r="D231" s="134"/>
      <c r="E231" s="134"/>
      <c r="F231" s="161"/>
    </row>
    <row r="232">
      <c r="A232" s="134">
        <v>231.0</v>
      </c>
      <c r="B232" s="134" t="s">
        <v>463</v>
      </c>
      <c r="C232" s="135"/>
      <c r="D232" s="135"/>
      <c r="E232" s="135"/>
      <c r="F232" s="160"/>
    </row>
    <row r="233">
      <c r="A233" s="134">
        <v>232.0</v>
      </c>
      <c r="B233" s="134" t="s">
        <v>465</v>
      </c>
      <c r="C233" s="134" t="s">
        <v>466</v>
      </c>
      <c r="D233" s="134"/>
      <c r="E233" s="134"/>
      <c r="F233" s="161"/>
    </row>
    <row r="234">
      <c r="A234" s="134">
        <v>233.0</v>
      </c>
      <c r="B234" s="134" t="s">
        <v>467</v>
      </c>
      <c r="C234" s="134" t="s">
        <v>468</v>
      </c>
      <c r="D234" s="134"/>
      <c r="E234" s="134"/>
      <c r="F234" s="161"/>
    </row>
    <row r="235">
      <c r="A235" s="134">
        <v>234.0</v>
      </c>
      <c r="B235" s="134" t="s">
        <v>469</v>
      </c>
      <c r="C235" s="134" t="s">
        <v>470</v>
      </c>
      <c r="D235" s="134"/>
      <c r="E235" s="134"/>
      <c r="F235" s="161"/>
    </row>
    <row r="236">
      <c r="A236" s="134">
        <v>235.0</v>
      </c>
      <c r="B236" s="134" t="s">
        <v>471</v>
      </c>
      <c r="C236" s="135"/>
      <c r="D236" s="135"/>
      <c r="E236" s="135"/>
      <c r="F236" s="160"/>
    </row>
    <row r="237">
      <c r="A237" s="134">
        <v>236.0</v>
      </c>
      <c r="B237" s="134" t="s">
        <v>472</v>
      </c>
      <c r="C237" s="135"/>
      <c r="D237" s="135"/>
      <c r="E237" s="135"/>
      <c r="F237" s="160"/>
    </row>
    <row r="238">
      <c r="A238" s="134">
        <v>237.0</v>
      </c>
      <c r="B238" s="134" t="s">
        <v>473</v>
      </c>
      <c r="C238" s="134" t="s">
        <v>474</v>
      </c>
      <c r="D238" s="134"/>
      <c r="E238" s="134"/>
      <c r="F238" s="161"/>
    </row>
    <row r="239">
      <c r="A239" s="134">
        <v>238.0</v>
      </c>
      <c r="B239" s="134" t="s">
        <v>475</v>
      </c>
      <c r="C239" s="134" t="s">
        <v>356</v>
      </c>
      <c r="D239" s="134"/>
      <c r="E239" s="134"/>
      <c r="F239" s="161"/>
    </row>
    <row r="240">
      <c r="A240" s="134">
        <v>239.0</v>
      </c>
      <c r="B240" s="134" t="s">
        <v>476</v>
      </c>
      <c r="C240" s="134" t="s">
        <v>477</v>
      </c>
      <c r="D240" s="134"/>
      <c r="E240" s="134"/>
      <c r="F240" s="161"/>
    </row>
    <row r="241">
      <c r="A241" s="134">
        <v>240.0</v>
      </c>
      <c r="B241" s="134" t="s">
        <v>478</v>
      </c>
      <c r="C241" s="135" t="s">
        <v>479</v>
      </c>
      <c r="D241" s="135"/>
      <c r="E241" s="135"/>
      <c r="F241" s="160"/>
    </row>
    <row r="242">
      <c r="A242" s="134">
        <v>241.0</v>
      </c>
      <c r="B242" s="134" t="s">
        <v>480</v>
      </c>
      <c r="C242" s="134" t="s">
        <v>481</v>
      </c>
      <c r="D242" s="134"/>
      <c r="E242" s="134"/>
      <c r="F242" s="161"/>
    </row>
    <row r="243">
      <c r="A243" s="134">
        <v>242.0</v>
      </c>
      <c r="B243" s="134" t="s">
        <v>482</v>
      </c>
      <c r="C243" s="134" t="s">
        <v>483</v>
      </c>
      <c r="D243" s="134"/>
      <c r="E243" s="134"/>
      <c r="F243" s="161"/>
    </row>
    <row r="244">
      <c r="A244" s="134">
        <v>243.0</v>
      </c>
      <c r="B244" s="134" t="s">
        <v>484</v>
      </c>
      <c r="C244" s="135"/>
      <c r="D244" s="135"/>
      <c r="E244" s="135"/>
      <c r="F244" s="160"/>
    </row>
    <row r="245">
      <c r="A245" s="134">
        <v>244.0</v>
      </c>
      <c r="B245" s="134" t="s">
        <v>485</v>
      </c>
      <c r="C245" s="134" t="s">
        <v>486</v>
      </c>
      <c r="D245" s="134"/>
      <c r="E245" s="134"/>
      <c r="F245" s="161"/>
    </row>
    <row r="246">
      <c r="A246" s="134">
        <v>245.0</v>
      </c>
      <c r="B246" s="134" t="s">
        <v>487</v>
      </c>
      <c r="C246" s="135" t="s">
        <v>488</v>
      </c>
      <c r="D246" s="135"/>
      <c r="E246" s="135"/>
      <c r="F246" s="160"/>
    </row>
    <row r="247">
      <c r="A247" s="134">
        <v>246.0</v>
      </c>
      <c r="B247" s="134" t="s">
        <v>489</v>
      </c>
      <c r="C247" s="135" t="s">
        <v>490</v>
      </c>
      <c r="D247" s="134"/>
      <c r="E247" s="134"/>
      <c r="F247" s="161"/>
    </row>
    <row r="248">
      <c r="A248" s="134">
        <v>247.0</v>
      </c>
      <c r="B248" s="134" t="s">
        <v>491</v>
      </c>
      <c r="C248" s="134" t="s">
        <v>185</v>
      </c>
      <c r="D248" s="134"/>
      <c r="E248" s="134"/>
      <c r="F248" s="161"/>
    </row>
    <row r="249">
      <c r="A249" s="134">
        <v>248.0</v>
      </c>
      <c r="B249" s="134" t="s">
        <v>492</v>
      </c>
      <c r="C249" s="134" t="s">
        <v>493</v>
      </c>
      <c r="D249" s="134"/>
      <c r="E249" s="134"/>
      <c r="F249" s="161"/>
    </row>
    <row r="250">
      <c r="A250" s="134">
        <v>249.0</v>
      </c>
      <c r="B250" s="134" t="s">
        <v>494</v>
      </c>
      <c r="C250" s="135" t="s">
        <v>495</v>
      </c>
      <c r="D250" s="135"/>
      <c r="E250" s="135"/>
      <c r="F250" s="160"/>
    </row>
    <row r="251">
      <c r="A251" s="134">
        <v>250.0</v>
      </c>
      <c r="B251" s="134" t="s">
        <v>496</v>
      </c>
      <c r="C251" s="134" t="s">
        <v>497</v>
      </c>
      <c r="D251" s="134"/>
      <c r="E251" s="134"/>
      <c r="F251" s="161"/>
    </row>
    <row r="252">
      <c r="A252" s="134">
        <v>251.0</v>
      </c>
      <c r="B252" s="134" t="s">
        <v>498</v>
      </c>
      <c r="C252" s="135"/>
      <c r="D252" s="135"/>
      <c r="E252" s="135"/>
      <c r="F252" s="160"/>
    </row>
    <row r="253">
      <c r="A253" s="134">
        <v>252.0</v>
      </c>
      <c r="B253" s="134" t="s">
        <v>499</v>
      </c>
      <c r="C253" s="135"/>
      <c r="D253" s="135"/>
      <c r="E253" s="135"/>
      <c r="F253" s="160"/>
    </row>
    <row r="254">
      <c r="A254" s="134">
        <v>253.0</v>
      </c>
      <c r="B254" s="134" t="s">
        <v>500</v>
      </c>
      <c r="C254" s="135"/>
      <c r="D254" s="135"/>
      <c r="E254" s="135"/>
      <c r="F254" s="160"/>
    </row>
    <row r="255">
      <c r="A255" s="134">
        <v>254.0</v>
      </c>
      <c r="B255" s="134" t="s">
        <v>501</v>
      </c>
      <c r="C255" s="135"/>
      <c r="D255" s="135"/>
      <c r="E255" s="135"/>
      <c r="F255" s="160"/>
    </row>
    <row r="256">
      <c r="A256" s="134">
        <v>255.0</v>
      </c>
      <c r="B256" s="134" t="s">
        <v>502</v>
      </c>
      <c r="C256" s="135"/>
      <c r="D256" s="135"/>
      <c r="E256" s="135"/>
      <c r="F256" s="160"/>
    </row>
    <row r="257">
      <c r="A257" s="134">
        <v>256.0</v>
      </c>
      <c r="B257" s="134" t="s">
        <v>503</v>
      </c>
      <c r="C257" s="134" t="s">
        <v>504</v>
      </c>
      <c r="D257" s="134"/>
      <c r="E257" s="134"/>
      <c r="F257" s="161"/>
    </row>
    <row r="258">
      <c r="A258" s="134">
        <v>257.0</v>
      </c>
      <c r="B258" s="134" t="s">
        <v>505</v>
      </c>
      <c r="C258" s="135"/>
      <c r="D258" s="135"/>
      <c r="E258" s="135"/>
      <c r="F258" s="160"/>
    </row>
    <row r="259">
      <c r="A259" s="134">
        <v>258.0</v>
      </c>
      <c r="B259" s="134" t="s">
        <v>506</v>
      </c>
      <c r="C259" s="134" t="s">
        <v>507</v>
      </c>
      <c r="D259" s="134"/>
      <c r="E259" s="134"/>
      <c r="F259" s="161"/>
    </row>
    <row r="260">
      <c r="A260" s="135">
        <v>259.0</v>
      </c>
      <c r="B260" s="134" t="s">
        <v>508</v>
      </c>
      <c r="C260" s="135" t="s">
        <v>509</v>
      </c>
      <c r="D260" s="135"/>
      <c r="E260" s="135"/>
      <c r="F260" s="160"/>
    </row>
    <row r="261">
      <c r="A261" s="135">
        <v>260.0</v>
      </c>
      <c r="B261" s="135" t="s">
        <v>510</v>
      </c>
      <c r="C261" s="135"/>
      <c r="D261" s="135"/>
      <c r="E261" s="135"/>
      <c r="F261" s="160"/>
    </row>
    <row r="262">
      <c r="C262" s="137"/>
      <c r="D262" s="137"/>
      <c r="E262" s="137"/>
      <c r="F262" s="137"/>
    </row>
    <row r="263">
      <c r="C263" s="137"/>
      <c r="D263" s="137"/>
      <c r="E263" s="137"/>
      <c r="F263" s="137"/>
    </row>
    <row r="264">
      <c r="C264" s="137"/>
      <c r="D264" s="137"/>
      <c r="E264" s="137"/>
      <c r="F264" s="137"/>
    </row>
    <row r="265">
      <c r="C265" s="137"/>
      <c r="D265" s="137"/>
      <c r="E265" s="137"/>
      <c r="F265" s="137"/>
    </row>
    <row r="266">
      <c r="C266" s="137"/>
      <c r="D266" s="137"/>
      <c r="E266" s="137"/>
      <c r="F266" s="137"/>
    </row>
    <row r="267">
      <c r="C267" s="137"/>
      <c r="D267" s="137"/>
      <c r="E267" s="137"/>
      <c r="F267" s="137"/>
    </row>
    <row r="268">
      <c r="C268" s="137"/>
      <c r="D268" s="137"/>
      <c r="E268" s="137"/>
      <c r="F268" s="137"/>
    </row>
    <row r="269">
      <c r="C269" s="137"/>
      <c r="D269" s="137"/>
      <c r="E269" s="137"/>
      <c r="F269" s="137"/>
    </row>
    <row r="270">
      <c r="C270" s="137"/>
      <c r="D270" s="137"/>
      <c r="E270" s="137"/>
      <c r="F270" s="137"/>
    </row>
    <row r="271">
      <c r="C271" s="137"/>
      <c r="D271" s="137"/>
      <c r="E271" s="137"/>
      <c r="F271" s="137"/>
    </row>
    <row r="272">
      <c r="C272" s="137"/>
      <c r="D272" s="137"/>
      <c r="E272" s="137"/>
      <c r="F272" s="137"/>
    </row>
    <row r="273">
      <c r="C273" s="137"/>
      <c r="D273" s="137"/>
      <c r="E273" s="137"/>
      <c r="F273" s="137"/>
    </row>
    <row r="274">
      <c r="C274" s="137"/>
      <c r="D274" s="137"/>
      <c r="E274" s="137"/>
      <c r="F274" s="137"/>
    </row>
    <row r="275">
      <c r="C275" s="137"/>
      <c r="D275" s="137"/>
      <c r="E275" s="137"/>
      <c r="F275" s="137"/>
    </row>
    <row r="276">
      <c r="C276" s="137"/>
      <c r="D276" s="137"/>
      <c r="E276" s="137"/>
      <c r="F276" s="137"/>
    </row>
    <row r="277">
      <c r="C277" s="137"/>
      <c r="D277" s="137"/>
      <c r="E277" s="137"/>
      <c r="F277" s="137"/>
    </row>
    <row r="278">
      <c r="C278" s="137"/>
      <c r="D278" s="137"/>
      <c r="E278" s="137"/>
      <c r="F278" s="137"/>
    </row>
    <row r="279">
      <c r="C279" s="137"/>
      <c r="D279" s="137"/>
      <c r="E279" s="137"/>
      <c r="F279" s="137"/>
    </row>
    <row r="280">
      <c r="C280" s="137"/>
      <c r="D280" s="137"/>
      <c r="E280" s="137"/>
      <c r="F280" s="137"/>
    </row>
    <row r="281">
      <c r="C281" s="137"/>
      <c r="D281" s="137"/>
      <c r="E281" s="137"/>
      <c r="F281" s="137"/>
    </row>
    <row r="282">
      <c r="C282" s="137"/>
      <c r="D282" s="137"/>
      <c r="E282" s="137"/>
      <c r="F282" s="137"/>
    </row>
    <row r="283">
      <c r="C283" s="137"/>
      <c r="D283" s="137"/>
      <c r="E283" s="137"/>
      <c r="F283" s="137"/>
    </row>
    <row r="284">
      <c r="C284" s="137"/>
      <c r="D284" s="137"/>
      <c r="E284" s="137"/>
      <c r="F284" s="137"/>
    </row>
    <row r="285">
      <c r="C285" s="137"/>
      <c r="D285" s="137"/>
      <c r="E285" s="137"/>
      <c r="F285" s="137"/>
    </row>
    <row r="286">
      <c r="C286" s="137"/>
      <c r="D286" s="137"/>
      <c r="E286" s="137"/>
      <c r="F286" s="137"/>
    </row>
    <row r="287">
      <c r="C287" s="137"/>
      <c r="D287" s="137"/>
      <c r="E287" s="137"/>
      <c r="F287" s="137"/>
    </row>
    <row r="288">
      <c r="C288" s="137"/>
      <c r="D288" s="137"/>
      <c r="E288" s="137"/>
      <c r="F288" s="137"/>
    </row>
    <row r="289">
      <c r="C289" s="137"/>
      <c r="D289" s="137"/>
      <c r="E289" s="137"/>
      <c r="F289" s="137"/>
    </row>
    <row r="290">
      <c r="C290" s="137"/>
      <c r="D290" s="137"/>
      <c r="E290" s="137"/>
      <c r="F290" s="137"/>
    </row>
    <row r="291">
      <c r="C291" s="137"/>
      <c r="D291" s="137"/>
      <c r="E291" s="137"/>
      <c r="F291" s="137"/>
    </row>
    <row r="292">
      <c r="C292" s="137"/>
      <c r="D292" s="137"/>
      <c r="E292" s="137"/>
      <c r="F292" s="137"/>
    </row>
    <row r="293">
      <c r="C293" s="137"/>
      <c r="D293" s="137"/>
      <c r="E293" s="137"/>
      <c r="F293" s="137"/>
    </row>
    <row r="294">
      <c r="C294" s="137"/>
      <c r="D294" s="137"/>
      <c r="E294" s="137"/>
      <c r="F294" s="137"/>
    </row>
    <row r="295">
      <c r="C295" s="137"/>
      <c r="D295" s="137"/>
      <c r="E295" s="137"/>
      <c r="F295" s="137"/>
    </row>
    <row r="296">
      <c r="C296" s="137"/>
      <c r="D296" s="137"/>
      <c r="E296" s="137"/>
      <c r="F296" s="137"/>
    </row>
    <row r="297">
      <c r="C297" s="137"/>
      <c r="D297" s="137"/>
      <c r="E297" s="137"/>
      <c r="F297" s="137"/>
    </row>
    <row r="298">
      <c r="C298" s="137"/>
      <c r="D298" s="137"/>
      <c r="E298" s="137"/>
      <c r="F298" s="137"/>
    </row>
    <row r="299">
      <c r="C299" s="137"/>
      <c r="D299" s="137"/>
      <c r="E299" s="137"/>
      <c r="F299" s="137"/>
    </row>
    <row r="300">
      <c r="C300" s="137"/>
      <c r="D300" s="137"/>
      <c r="E300" s="137"/>
      <c r="F300" s="137"/>
    </row>
    <row r="301">
      <c r="C301" s="137"/>
      <c r="D301" s="137"/>
      <c r="E301" s="137"/>
      <c r="F301" s="137"/>
    </row>
    <row r="302">
      <c r="C302" s="137"/>
      <c r="D302" s="137"/>
      <c r="E302" s="137"/>
      <c r="F302" s="137"/>
    </row>
    <row r="303">
      <c r="C303" s="137"/>
      <c r="D303" s="137"/>
      <c r="E303" s="137"/>
      <c r="F303" s="137"/>
    </row>
    <row r="304">
      <c r="C304" s="137"/>
      <c r="D304" s="137"/>
      <c r="E304" s="137"/>
      <c r="F304" s="137"/>
    </row>
    <row r="305">
      <c r="C305" s="137"/>
      <c r="D305" s="137"/>
      <c r="E305" s="137"/>
      <c r="F305" s="137"/>
    </row>
    <row r="306">
      <c r="C306" s="137"/>
      <c r="D306" s="137"/>
      <c r="E306" s="137"/>
      <c r="F306" s="137"/>
    </row>
    <row r="307">
      <c r="C307" s="137"/>
      <c r="D307" s="137"/>
      <c r="E307" s="137"/>
      <c r="F307" s="137"/>
    </row>
    <row r="308">
      <c r="C308" s="137"/>
      <c r="D308" s="137"/>
      <c r="E308" s="137"/>
      <c r="F308" s="137"/>
    </row>
    <row r="309">
      <c r="C309" s="137"/>
      <c r="D309" s="137"/>
      <c r="E309" s="137"/>
      <c r="F309" s="137"/>
    </row>
    <row r="310">
      <c r="C310" s="137"/>
      <c r="D310" s="137"/>
      <c r="E310" s="137"/>
      <c r="F310" s="137"/>
    </row>
    <row r="311">
      <c r="C311" s="137"/>
      <c r="D311" s="137"/>
      <c r="E311" s="137"/>
      <c r="F311" s="137"/>
    </row>
    <row r="312">
      <c r="C312" s="137"/>
      <c r="D312" s="137"/>
      <c r="E312" s="137"/>
      <c r="F312" s="137"/>
    </row>
    <row r="313">
      <c r="C313" s="137"/>
      <c r="D313" s="137"/>
      <c r="E313" s="137"/>
      <c r="F313" s="137"/>
    </row>
    <row r="314">
      <c r="C314" s="137"/>
      <c r="D314" s="137"/>
      <c r="E314" s="137"/>
      <c r="F314" s="137"/>
    </row>
    <row r="315">
      <c r="C315" s="137"/>
      <c r="D315" s="137"/>
      <c r="E315" s="137"/>
      <c r="F315" s="137"/>
    </row>
    <row r="316">
      <c r="C316" s="137"/>
      <c r="D316" s="137"/>
      <c r="E316" s="137"/>
      <c r="F316" s="137"/>
    </row>
    <row r="317">
      <c r="C317" s="137"/>
      <c r="D317" s="137"/>
      <c r="E317" s="137"/>
      <c r="F317" s="137"/>
    </row>
    <row r="318">
      <c r="C318" s="137"/>
      <c r="D318" s="137"/>
      <c r="E318" s="137"/>
      <c r="F318" s="137"/>
    </row>
    <row r="319">
      <c r="C319" s="137"/>
      <c r="D319" s="137"/>
      <c r="E319" s="137"/>
      <c r="F319" s="137"/>
    </row>
    <row r="320">
      <c r="C320" s="137"/>
      <c r="D320" s="137"/>
      <c r="E320" s="137"/>
      <c r="F320" s="137"/>
    </row>
    <row r="321">
      <c r="C321" s="137"/>
      <c r="D321" s="137"/>
      <c r="E321" s="137"/>
      <c r="F321" s="137"/>
    </row>
    <row r="322">
      <c r="C322" s="137"/>
      <c r="D322" s="137"/>
      <c r="E322" s="137"/>
      <c r="F322" s="137"/>
    </row>
    <row r="323">
      <c r="C323" s="137"/>
      <c r="D323" s="137"/>
      <c r="E323" s="137"/>
      <c r="F323" s="137"/>
    </row>
    <row r="324">
      <c r="C324" s="137"/>
      <c r="D324" s="137"/>
      <c r="E324" s="137"/>
      <c r="F324" s="137"/>
    </row>
    <row r="325">
      <c r="C325" s="137"/>
      <c r="D325" s="137"/>
      <c r="E325" s="137"/>
      <c r="F325" s="137"/>
    </row>
    <row r="326">
      <c r="C326" s="137"/>
      <c r="D326" s="137"/>
      <c r="E326" s="137"/>
      <c r="F326" s="137"/>
    </row>
    <row r="327">
      <c r="C327" s="137"/>
      <c r="D327" s="137"/>
      <c r="E327" s="137"/>
      <c r="F327" s="137"/>
    </row>
    <row r="328">
      <c r="C328" s="137"/>
      <c r="D328" s="137"/>
      <c r="E328" s="137"/>
      <c r="F328" s="137"/>
    </row>
    <row r="329">
      <c r="C329" s="137"/>
      <c r="D329" s="137"/>
      <c r="E329" s="137"/>
      <c r="F329" s="137"/>
    </row>
    <row r="330">
      <c r="C330" s="137"/>
      <c r="D330" s="137"/>
      <c r="E330" s="137"/>
      <c r="F330" s="137"/>
    </row>
    <row r="331">
      <c r="C331" s="137"/>
      <c r="D331" s="137"/>
      <c r="E331" s="137"/>
      <c r="F331" s="137"/>
    </row>
    <row r="332">
      <c r="C332" s="137"/>
      <c r="D332" s="137"/>
      <c r="E332" s="137"/>
      <c r="F332" s="137"/>
    </row>
    <row r="333">
      <c r="C333" s="137"/>
      <c r="D333" s="137"/>
      <c r="E333" s="137"/>
      <c r="F333" s="137"/>
    </row>
    <row r="334">
      <c r="C334" s="137"/>
      <c r="D334" s="137"/>
      <c r="E334" s="137"/>
      <c r="F334" s="137"/>
    </row>
    <row r="335">
      <c r="C335" s="137"/>
      <c r="D335" s="137"/>
      <c r="E335" s="137"/>
      <c r="F335" s="137"/>
    </row>
    <row r="336">
      <c r="C336" s="137"/>
      <c r="D336" s="137"/>
      <c r="E336" s="137"/>
      <c r="F336" s="137"/>
    </row>
    <row r="337">
      <c r="C337" s="137"/>
      <c r="D337" s="137"/>
      <c r="E337" s="137"/>
      <c r="F337" s="137"/>
    </row>
    <row r="338">
      <c r="C338" s="137"/>
      <c r="D338" s="137"/>
      <c r="E338" s="137"/>
      <c r="F338" s="137"/>
    </row>
    <row r="339">
      <c r="C339" s="137"/>
      <c r="D339" s="137"/>
      <c r="E339" s="137"/>
      <c r="F339" s="137"/>
    </row>
    <row r="340">
      <c r="C340" s="137"/>
      <c r="D340" s="137"/>
      <c r="E340" s="137"/>
      <c r="F340" s="137"/>
    </row>
    <row r="341">
      <c r="C341" s="137"/>
      <c r="D341" s="137"/>
      <c r="E341" s="137"/>
      <c r="F341" s="137"/>
    </row>
    <row r="342">
      <c r="C342" s="137"/>
      <c r="D342" s="137"/>
      <c r="E342" s="137"/>
      <c r="F342" s="137"/>
    </row>
    <row r="343">
      <c r="C343" s="137"/>
      <c r="D343" s="137"/>
      <c r="E343" s="137"/>
      <c r="F343" s="137"/>
    </row>
    <row r="344">
      <c r="C344" s="137"/>
      <c r="D344" s="137"/>
      <c r="E344" s="137"/>
      <c r="F344" s="137"/>
    </row>
    <row r="345">
      <c r="C345" s="137"/>
      <c r="D345" s="137"/>
      <c r="E345" s="137"/>
      <c r="F345" s="137"/>
    </row>
    <row r="346">
      <c r="C346" s="137"/>
      <c r="D346" s="137"/>
      <c r="E346" s="137"/>
      <c r="F346" s="137"/>
    </row>
    <row r="347">
      <c r="C347" s="137"/>
      <c r="D347" s="137"/>
      <c r="E347" s="137"/>
      <c r="F347" s="137"/>
    </row>
    <row r="348">
      <c r="C348" s="137"/>
      <c r="D348" s="137"/>
      <c r="E348" s="137"/>
      <c r="F348" s="137"/>
    </row>
    <row r="349">
      <c r="C349" s="137"/>
      <c r="D349" s="137"/>
      <c r="E349" s="137"/>
      <c r="F349" s="137"/>
    </row>
    <row r="350">
      <c r="C350" s="137"/>
      <c r="D350" s="137"/>
      <c r="E350" s="137"/>
      <c r="F350" s="137"/>
    </row>
    <row r="351">
      <c r="C351" s="137"/>
      <c r="D351" s="137"/>
      <c r="E351" s="137"/>
      <c r="F351" s="137"/>
    </row>
    <row r="352">
      <c r="C352" s="137"/>
      <c r="D352" s="137"/>
      <c r="E352" s="137"/>
      <c r="F352" s="137"/>
    </row>
    <row r="353">
      <c r="C353" s="137"/>
      <c r="D353" s="137"/>
      <c r="E353" s="137"/>
      <c r="F353" s="137"/>
    </row>
    <row r="354">
      <c r="C354" s="137"/>
      <c r="D354" s="137"/>
      <c r="E354" s="137"/>
      <c r="F354" s="137"/>
    </row>
    <row r="355">
      <c r="C355" s="137"/>
      <c r="D355" s="137"/>
      <c r="E355" s="137"/>
      <c r="F355" s="137"/>
    </row>
    <row r="356">
      <c r="C356" s="137"/>
      <c r="D356" s="137"/>
      <c r="E356" s="137"/>
      <c r="F356" s="137"/>
    </row>
    <row r="357">
      <c r="C357" s="137"/>
      <c r="D357" s="137"/>
      <c r="E357" s="137"/>
      <c r="F357" s="137"/>
    </row>
    <row r="358">
      <c r="C358" s="137"/>
      <c r="D358" s="137"/>
      <c r="E358" s="137"/>
      <c r="F358" s="137"/>
    </row>
    <row r="359">
      <c r="C359" s="137"/>
      <c r="D359" s="137"/>
      <c r="E359" s="137"/>
      <c r="F359" s="137"/>
    </row>
    <row r="360">
      <c r="C360" s="137"/>
      <c r="D360" s="137"/>
      <c r="E360" s="137"/>
      <c r="F360" s="137"/>
    </row>
    <row r="361">
      <c r="C361" s="137"/>
      <c r="D361" s="137"/>
      <c r="E361" s="137"/>
      <c r="F361" s="137"/>
    </row>
    <row r="362">
      <c r="C362" s="137"/>
      <c r="D362" s="137"/>
      <c r="E362" s="137"/>
      <c r="F362" s="137"/>
    </row>
    <row r="363">
      <c r="C363" s="137"/>
      <c r="D363" s="137"/>
      <c r="E363" s="137"/>
      <c r="F363" s="137"/>
    </row>
    <row r="364">
      <c r="C364" s="137"/>
      <c r="D364" s="137"/>
      <c r="E364" s="137"/>
      <c r="F364" s="137"/>
    </row>
    <row r="365">
      <c r="C365" s="137"/>
      <c r="D365" s="137"/>
      <c r="E365" s="137"/>
      <c r="F365" s="137"/>
    </row>
    <row r="366">
      <c r="C366" s="137"/>
      <c r="D366" s="137"/>
      <c r="E366" s="137"/>
      <c r="F366" s="137"/>
    </row>
    <row r="367">
      <c r="C367" s="137"/>
      <c r="D367" s="137"/>
      <c r="E367" s="137"/>
      <c r="F367" s="137"/>
    </row>
    <row r="368">
      <c r="C368" s="137"/>
      <c r="D368" s="137"/>
      <c r="E368" s="137"/>
      <c r="F368" s="137"/>
    </row>
    <row r="369">
      <c r="C369" s="137"/>
      <c r="D369" s="137"/>
      <c r="E369" s="137"/>
      <c r="F369" s="137"/>
    </row>
    <row r="370">
      <c r="C370" s="137"/>
      <c r="D370" s="137"/>
      <c r="E370" s="137"/>
      <c r="F370" s="137"/>
    </row>
    <row r="371">
      <c r="C371" s="137"/>
      <c r="D371" s="137"/>
      <c r="E371" s="137"/>
      <c r="F371" s="137"/>
    </row>
    <row r="372">
      <c r="C372" s="137"/>
      <c r="D372" s="137"/>
      <c r="E372" s="137"/>
      <c r="F372" s="137"/>
    </row>
    <row r="373">
      <c r="C373" s="137"/>
      <c r="D373" s="137"/>
      <c r="E373" s="137"/>
      <c r="F373" s="137"/>
    </row>
    <row r="374">
      <c r="C374" s="137"/>
      <c r="D374" s="137"/>
      <c r="E374" s="137"/>
      <c r="F374" s="137"/>
    </row>
    <row r="375">
      <c r="C375" s="137"/>
      <c r="D375" s="137"/>
      <c r="E375" s="137"/>
      <c r="F375" s="137"/>
    </row>
    <row r="376">
      <c r="C376" s="137"/>
      <c r="D376" s="137"/>
      <c r="E376" s="137"/>
      <c r="F376" s="137"/>
    </row>
    <row r="377">
      <c r="C377" s="137"/>
      <c r="D377" s="137"/>
      <c r="E377" s="137"/>
      <c r="F377" s="137"/>
    </row>
    <row r="378">
      <c r="C378" s="137"/>
      <c r="D378" s="137"/>
      <c r="E378" s="137"/>
      <c r="F378" s="137"/>
    </row>
    <row r="379">
      <c r="C379" s="137"/>
      <c r="D379" s="137"/>
      <c r="E379" s="137"/>
      <c r="F379" s="137"/>
    </row>
    <row r="380">
      <c r="C380" s="137"/>
      <c r="D380" s="137"/>
      <c r="E380" s="137"/>
      <c r="F380" s="137"/>
    </row>
    <row r="381">
      <c r="C381" s="137"/>
      <c r="D381" s="137"/>
      <c r="E381" s="137"/>
      <c r="F381" s="137"/>
    </row>
    <row r="382">
      <c r="C382" s="137"/>
      <c r="D382" s="137"/>
      <c r="E382" s="137"/>
      <c r="F382" s="137"/>
    </row>
    <row r="383">
      <c r="C383" s="137"/>
      <c r="D383" s="137"/>
      <c r="E383" s="137"/>
      <c r="F383" s="137"/>
    </row>
    <row r="384">
      <c r="C384" s="137"/>
      <c r="D384" s="137"/>
      <c r="E384" s="137"/>
      <c r="F384" s="137"/>
    </row>
    <row r="385">
      <c r="C385" s="137"/>
      <c r="D385" s="137"/>
      <c r="E385" s="137"/>
      <c r="F385" s="137"/>
    </row>
    <row r="386">
      <c r="C386" s="137"/>
      <c r="D386" s="137"/>
      <c r="E386" s="137"/>
      <c r="F386" s="137"/>
    </row>
    <row r="387">
      <c r="C387" s="137"/>
      <c r="D387" s="137"/>
      <c r="E387" s="137"/>
      <c r="F387" s="137"/>
    </row>
    <row r="388">
      <c r="C388" s="137"/>
      <c r="D388" s="137"/>
      <c r="E388" s="137"/>
      <c r="F388" s="137"/>
    </row>
    <row r="389">
      <c r="C389" s="137"/>
      <c r="D389" s="137"/>
      <c r="E389" s="137"/>
      <c r="F389" s="137"/>
    </row>
    <row r="390">
      <c r="C390" s="137"/>
      <c r="D390" s="137"/>
      <c r="E390" s="137"/>
      <c r="F390" s="137"/>
    </row>
    <row r="391">
      <c r="C391" s="137"/>
      <c r="D391" s="137"/>
      <c r="E391" s="137"/>
      <c r="F391" s="137"/>
    </row>
    <row r="392">
      <c r="C392" s="137"/>
      <c r="D392" s="137"/>
      <c r="E392" s="137"/>
      <c r="F392" s="137"/>
    </row>
    <row r="393">
      <c r="C393" s="137"/>
      <c r="D393" s="137"/>
      <c r="E393" s="137"/>
      <c r="F393" s="137"/>
    </row>
    <row r="394">
      <c r="C394" s="137"/>
      <c r="D394" s="137"/>
      <c r="E394" s="137"/>
      <c r="F394" s="137"/>
    </row>
    <row r="395">
      <c r="C395" s="137"/>
      <c r="D395" s="137"/>
      <c r="E395" s="137"/>
      <c r="F395" s="137"/>
    </row>
    <row r="396">
      <c r="C396" s="137"/>
      <c r="D396" s="137"/>
      <c r="E396" s="137"/>
      <c r="F396" s="137"/>
    </row>
    <row r="397">
      <c r="C397" s="137"/>
      <c r="D397" s="137"/>
      <c r="E397" s="137"/>
      <c r="F397" s="137"/>
    </row>
    <row r="398">
      <c r="C398" s="137"/>
      <c r="D398" s="137"/>
      <c r="E398" s="137"/>
      <c r="F398" s="137"/>
    </row>
    <row r="399">
      <c r="C399" s="137"/>
      <c r="D399" s="137"/>
      <c r="E399" s="137"/>
      <c r="F399" s="137"/>
    </row>
    <row r="400">
      <c r="C400" s="137"/>
      <c r="D400" s="137"/>
      <c r="E400" s="137"/>
      <c r="F400" s="137"/>
    </row>
    <row r="401">
      <c r="C401" s="137"/>
      <c r="D401" s="137"/>
      <c r="E401" s="137"/>
      <c r="F401" s="137"/>
    </row>
    <row r="402">
      <c r="C402" s="137"/>
      <c r="D402" s="137"/>
      <c r="E402" s="137"/>
      <c r="F402" s="137"/>
    </row>
    <row r="403">
      <c r="C403" s="137"/>
      <c r="D403" s="137"/>
      <c r="E403" s="137"/>
      <c r="F403" s="137"/>
    </row>
    <row r="404">
      <c r="C404" s="137"/>
      <c r="D404" s="137"/>
      <c r="E404" s="137"/>
      <c r="F404" s="137"/>
    </row>
    <row r="405">
      <c r="C405" s="137"/>
      <c r="D405" s="137"/>
      <c r="E405" s="137"/>
      <c r="F405" s="137"/>
    </row>
    <row r="406">
      <c r="C406" s="137"/>
      <c r="D406" s="137"/>
      <c r="E406" s="137"/>
      <c r="F406" s="137"/>
    </row>
    <row r="407">
      <c r="C407" s="137"/>
      <c r="D407" s="137"/>
      <c r="E407" s="137"/>
      <c r="F407" s="137"/>
    </row>
    <row r="408">
      <c r="C408" s="137"/>
      <c r="D408" s="137"/>
      <c r="E408" s="137"/>
      <c r="F408" s="137"/>
    </row>
    <row r="409">
      <c r="C409" s="137"/>
      <c r="D409" s="137"/>
      <c r="E409" s="137"/>
      <c r="F409" s="137"/>
    </row>
    <row r="410">
      <c r="C410" s="137"/>
      <c r="D410" s="137"/>
      <c r="E410" s="137"/>
      <c r="F410" s="137"/>
    </row>
    <row r="411">
      <c r="C411" s="137"/>
      <c r="D411" s="137"/>
      <c r="E411" s="137"/>
      <c r="F411" s="137"/>
    </row>
    <row r="412">
      <c r="C412" s="137"/>
      <c r="D412" s="137"/>
      <c r="E412" s="137"/>
      <c r="F412" s="137"/>
    </row>
    <row r="413">
      <c r="C413" s="137"/>
      <c r="D413" s="137"/>
      <c r="E413" s="137"/>
      <c r="F413" s="137"/>
    </row>
    <row r="414">
      <c r="C414" s="137"/>
      <c r="D414" s="137"/>
      <c r="E414" s="137"/>
      <c r="F414" s="137"/>
    </row>
    <row r="415">
      <c r="C415" s="137"/>
      <c r="D415" s="137"/>
      <c r="E415" s="137"/>
      <c r="F415" s="137"/>
    </row>
    <row r="416">
      <c r="C416" s="137"/>
      <c r="D416" s="137"/>
      <c r="E416" s="137"/>
      <c r="F416" s="137"/>
    </row>
    <row r="417">
      <c r="C417" s="137"/>
      <c r="D417" s="137"/>
      <c r="E417" s="137"/>
      <c r="F417" s="137"/>
    </row>
    <row r="418">
      <c r="C418" s="137"/>
      <c r="D418" s="137"/>
      <c r="E418" s="137"/>
      <c r="F418" s="137"/>
    </row>
    <row r="419">
      <c r="C419" s="137"/>
      <c r="D419" s="137"/>
      <c r="E419" s="137"/>
      <c r="F419" s="137"/>
    </row>
    <row r="420">
      <c r="C420" s="137"/>
      <c r="D420" s="137"/>
      <c r="E420" s="137"/>
      <c r="F420" s="137"/>
    </row>
    <row r="421">
      <c r="C421" s="137"/>
      <c r="D421" s="137"/>
      <c r="E421" s="137"/>
      <c r="F421" s="137"/>
    </row>
    <row r="422">
      <c r="C422" s="137"/>
      <c r="D422" s="137"/>
      <c r="E422" s="137"/>
      <c r="F422" s="137"/>
    </row>
    <row r="423">
      <c r="C423" s="137"/>
      <c r="D423" s="137"/>
      <c r="E423" s="137"/>
      <c r="F423" s="137"/>
    </row>
    <row r="424">
      <c r="C424" s="137"/>
      <c r="D424" s="137"/>
      <c r="E424" s="137"/>
      <c r="F424" s="137"/>
    </row>
    <row r="425">
      <c r="C425" s="137"/>
      <c r="D425" s="137"/>
      <c r="E425" s="137"/>
      <c r="F425" s="137"/>
    </row>
    <row r="426">
      <c r="C426" s="137"/>
      <c r="D426" s="137"/>
      <c r="E426" s="137"/>
      <c r="F426" s="137"/>
    </row>
    <row r="427">
      <c r="C427" s="137"/>
      <c r="D427" s="137"/>
      <c r="E427" s="137"/>
      <c r="F427" s="137"/>
    </row>
    <row r="428">
      <c r="C428" s="137"/>
      <c r="D428" s="137"/>
      <c r="E428" s="137"/>
      <c r="F428" s="137"/>
    </row>
    <row r="429">
      <c r="C429" s="137"/>
      <c r="D429" s="137"/>
      <c r="E429" s="137"/>
      <c r="F429" s="137"/>
    </row>
    <row r="430">
      <c r="C430" s="137"/>
      <c r="D430" s="137"/>
      <c r="E430" s="137"/>
      <c r="F430" s="137"/>
    </row>
    <row r="431">
      <c r="C431" s="137"/>
      <c r="D431" s="137"/>
      <c r="E431" s="137"/>
      <c r="F431" s="137"/>
    </row>
    <row r="432">
      <c r="C432" s="137"/>
      <c r="D432" s="137"/>
      <c r="E432" s="137"/>
      <c r="F432" s="137"/>
    </row>
    <row r="433">
      <c r="C433" s="137"/>
      <c r="D433" s="137"/>
      <c r="E433" s="137"/>
      <c r="F433" s="137"/>
    </row>
    <row r="434">
      <c r="C434" s="137"/>
      <c r="D434" s="137"/>
      <c r="E434" s="137"/>
      <c r="F434" s="137"/>
    </row>
    <row r="435">
      <c r="C435" s="137"/>
      <c r="D435" s="137"/>
      <c r="E435" s="137"/>
      <c r="F435" s="137"/>
    </row>
    <row r="436">
      <c r="C436" s="137"/>
      <c r="D436" s="137"/>
      <c r="E436" s="137"/>
      <c r="F436" s="137"/>
    </row>
    <row r="437">
      <c r="C437" s="137"/>
      <c r="D437" s="137"/>
      <c r="E437" s="137"/>
      <c r="F437" s="137"/>
    </row>
    <row r="438">
      <c r="C438" s="137"/>
      <c r="D438" s="137"/>
      <c r="E438" s="137"/>
      <c r="F438" s="137"/>
    </row>
    <row r="439">
      <c r="C439" s="137"/>
      <c r="D439" s="137"/>
      <c r="E439" s="137"/>
      <c r="F439" s="137"/>
    </row>
    <row r="440">
      <c r="C440" s="137"/>
      <c r="D440" s="137"/>
      <c r="E440" s="137"/>
      <c r="F440" s="137"/>
    </row>
    <row r="441">
      <c r="C441" s="137"/>
      <c r="D441" s="137"/>
      <c r="E441" s="137"/>
      <c r="F441" s="137"/>
    </row>
    <row r="442">
      <c r="C442" s="137"/>
      <c r="D442" s="137"/>
      <c r="E442" s="137"/>
      <c r="F442" s="137"/>
    </row>
    <row r="443">
      <c r="C443" s="137"/>
      <c r="D443" s="137"/>
      <c r="E443" s="137"/>
      <c r="F443" s="137"/>
    </row>
    <row r="444">
      <c r="C444" s="137"/>
      <c r="D444" s="137"/>
      <c r="E444" s="137"/>
      <c r="F444" s="137"/>
    </row>
    <row r="445">
      <c r="C445" s="137"/>
      <c r="D445" s="137"/>
      <c r="E445" s="137"/>
      <c r="F445" s="137"/>
    </row>
    <row r="446">
      <c r="C446" s="137"/>
      <c r="D446" s="137"/>
      <c r="E446" s="137"/>
      <c r="F446" s="137"/>
    </row>
    <row r="447">
      <c r="C447" s="137"/>
      <c r="D447" s="137"/>
      <c r="E447" s="137"/>
      <c r="F447" s="137"/>
    </row>
    <row r="448">
      <c r="C448" s="137"/>
      <c r="D448" s="137"/>
      <c r="E448" s="137"/>
      <c r="F448" s="137"/>
    </row>
    <row r="449">
      <c r="C449" s="137"/>
      <c r="D449" s="137"/>
      <c r="E449" s="137"/>
      <c r="F449" s="137"/>
    </row>
    <row r="450">
      <c r="C450" s="137"/>
      <c r="D450" s="137"/>
      <c r="E450" s="137"/>
      <c r="F450" s="137"/>
    </row>
    <row r="451">
      <c r="C451" s="137"/>
      <c r="D451" s="137"/>
      <c r="E451" s="137"/>
      <c r="F451" s="137"/>
    </row>
    <row r="452">
      <c r="C452" s="137"/>
      <c r="D452" s="137"/>
      <c r="E452" s="137"/>
      <c r="F452" s="137"/>
    </row>
    <row r="453">
      <c r="C453" s="137"/>
      <c r="D453" s="137"/>
      <c r="E453" s="137"/>
      <c r="F453" s="137"/>
    </row>
    <row r="454">
      <c r="C454" s="137"/>
      <c r="D454" s="137"/>
      <c r="E454" s="137"/>
      <c r="F454" s="137"/>
    </row>
    <row r="455">
      <c r="C455" s="137"/>
      <c r="D455" s="137"/>
      <c r="E455" s="137"/>
      <c r="F455" s="137"/>
    </row>
    <row r="456">
      <c r="C456" s="137"/>
      <c r="D456" s="137"/>
      <c r="E456" s="137"/>
      <c r="F456" s="137"/>
    </row>
    <row r="457">
      <c r="C457" s="137"/>
      <c r="D457" s="137"/>
      <c r="E457" s="137"/>
      <c r="F457" s="137"/>
    </row>
    <row r="458">
      <c r="C458" s="137"/>
      <c r="D458" s="137"/>
      <c r="E458" s="137"/>
      <c r="F458" s="137"/>
    </row>
    <row r="459">
      <c r="C459" s="137"/>
      <c r="D459" s="137"/>
      <c r="E459" s="137"/>
      <c r="F459" s="137"/>
    </row>
    <row r="460">
      <c r="C460" s="137"/>
      <c r="D460" s="137"/>
      <c r="E460" s="137"/>
      <c r="F460" s="137"/>
    </row>
    <row r="461">
      <c r="C461" s="137"/>
      <c r="D461" s="137"/>
      <c r="E461" s="137"/>
      <c r="F461" s="137"/>
    </row>
    <row r="462">
      <c r="C462" s="137"/>
      <c r="D462" s="137"/>
      <c r="E462" s="137"/>
      <c r="F462" s="137"/>
    </row>
    <row r="463">
      <c r="C463" s="137"/>
      <c r="D463" s="137"/>
      <c r="E463" s="137"/>
      <c r="F463" s="137"/>
    </row>
    <row r="464">
      <c r="C464" s="137"/>
      <c r="D464" s="137"/>
      <c r="E464" s="137"/>
      <c r="F464" s="137"/>
    </row>
    <row r="465">
      <c r="C465" s="137"/>
      <c r="D465" s="137"/>
      <c r="E465" s="137"/>
      <c r="F465" s="137"/>
    </row>
    <row r="466">
      <c r="C466" s="137"/>
      <c r="D466" s="137"/>
      <c r="E466" s="137"/>
      <c r="F466" s="137"/>
    </row>
    <row r="467">
      <c r="C467" s="137"/>
      <c r="D467" s="137"/>
      <c r="E467" s="137"/>
      <c r="F467" s="137"/>
    </row>
    <row r="468">
      <c r="C468" s="137"/>
      <c r="D468" s="137"/>
      <c r="E468" s="137"/>
      <c r="F468" s="137"/>
    </row>
    <row r="469">
      <c r="C469" s="137"/>
      <c r="D469" s="137"/>
      <c r="E469" s="137"/>
      <c r="F469" s="137"/>
    </row>
    <row r="470">
      <c r="C470" s="137"/>
      <c r="D470" s="137"/>
      <c r="E470" s="137"/>
      <c r="F470" s="137"/>
    </row>
    <row r="471">
      <c r="C471" s="137"/>
      <c r="D471" s="137"/>
      <c r="E471" s="137"/>
      <c r="F471" s="137"/>
    </row>
    <row r="472">
      <c r="C472" s="137"/>
      <c r="D472" s="137"/>
      <c r="E472" s="137"/>
      <c r="F472" s="137"/>
    </row>
    <row r="473">
      <c r="C473" s="137"/>
      <c r="D473" s="137"/>
      <c r="E473" s="137"/>
      <c r="F473" s="137"/>
    </row>
    <row r="474">
      <c r="C474" s="137"/>
      <c r="D474" s="137"/>
      <c r="E474" s="137"/>
      <c r="F474" s="137"/>
    </row>
    <row r="475">
      <c r="C475" s="137"/>
      <c r="D475" s="137"/>
      <c r="E475" s="137"/>
      <c r="F475" s="137"/>
    </row>
    <row r="476">
      <c r="C476" s="137"/>
      <c r="D476" s="137"/>
      <c r="E476" s="137"/>
      <c r="F476" s="137"/>
    </row>
    <row r="477">
      <c r="C477" s="137"/>
      <c r="D477" s="137"/>
      <c r="E477" s="137"/>
      <c r="F477" s="137"/>
    </row>
    <row r="478">
      <c r="C478" s="137"/>
      <c r="D478" s="137"/>
      <c r="E478" s="137"/>
      <c r="F478" s="137"/>
    </row>
    <row r="479">
      <c r="C479" s="137"/>
      <c r="D479" s="137"/>
      <c r="E479" s="137"/>
      <c r="F479" s="137"/>
    </row>
    <row r="480">
      <c r="C480" s="137"/>
      <c r="D480" s="137"/>
      <c r="E480" s="137"/>
      <c r="F480" s="137"/>
    </row>
    <row r="481">
      <c r="C481" s="137"/>
      <c r="D481" s="137"/>
      <c r="E481" s="137"/>
      <c r="F481" s="137"/>
    </row>
    <row r="482">
      <c r="C482" s="137"/>
      <c r="D482" s="137"/>
      <c r="E482" s="137"/>
      <c r="F482" s="137"/>
    </row>
    <row r="483">
      <c r="C483" s="137"/>
      <c r="D483" s="137"/>
      <c r="E483" s="137"/>
      <c r="F483" s="137"/>
    </row>
    <row r="484">
      <c r="C484" s="137"/>
      <c r="D484" s="137"/>
      <c r="E484" s="137"/>
      <c r="F484" s="137"/>
    </row>
    <row r="485">
      <c r="C485" s="137"/>
      <c r="D485" s="137"/>
      <c r="E485" s="137"/>
      <c r="F485" s="137"/>
    </row>
    <row r="486">
      <c r="C486" s="137"/>
      <c r="D486" s="137"/>
      <c r="E486" s="137"/>
      <c r="F486" s="137"/>
    </row>
    <row r="487">
      <c r="C487" s="137"/>
      <c r="D487" s="137"/>
      <c r="E487" s="137"/>
      <c r="F487" s="137"/>
    </row>
    <row r="488">
      <c r="C488" s="137"/>
      <c r="D488" s="137"/>
      <c r="E488" s="137"/>
      <c r="F488" s="137"/>
    </row>
    <row r="489">
      <c r="C489" s="137"/>
      <c r="D489" s="137"/>
      <c r="E489" s="137"/>
      <c r="F489" s="137"/>
    </row>
    <row r="490">
      <c r="C490" s="137"/>
      <c r="D490" s="137"/>
      <c r="E490" s="137"/>
      <c r="F490" s="137"/>
    </row>
    <row r="491">
      <c r="C491" s="137"/>
      <c r="D491" s="137"/>
      <c r="E491" s="137"/>
      <c r="F491" s="137"/>
    </row>
    <row r="492">
      <c r="C492" s="137"/>
      <c r="D492" s="137"/>
      <c r="E492" s="137"/>
      <c r="F492" s="137"/>
    </row>
    <row r="493">
      <c r="C493" s="137"/>
      <c r="D493" s="137"/>
      <c r="E493" s="137"/>
      <c r="F493" s="137"/>
    </row>
    <row r="494">
      <c r="C494" s="137"/>
      <c r="D494" s="137"/>
      <c r="E494" s="137"/>
      <c r="F494" s="137"/>
    </row>
    <row r="495">
      <c r="C495" s="137"/>
      <c r="D495" s="137"/>
      <c r="E495" s="137"/>
      <c r="F495" s="137"/>
    </row>
    <row r="496">
      <c r="C496" s="137"/>
      <c r="D496" s="137"/>
      <c r="E496" s="137"/>
      <c r="F496" s="137"/>
    </row>
    <row r="497">
      <c r="C497" s="137"/>
      <c r="D497" s="137"/>
      <c r="E497" s="137"/>
      <c r="F497" s="137"/>
    </row>
    <row r="498">
      <c r="C498" s="137"/>
      <c r="D498" s="137"/>
      <c r="E498" s="137"/>
      <c r="F498" s="137"/>
    </row>
    <row r="499">
      <c r="C499" s="137"/>
      <c r="D499" s="137"/>
      <c r="E499" s="137"/>
      <c r="F499" s="137"/>
    </row>
    <row r="500">
      <c r="C500" s="137"/>
      <c r="D500" s="137"/>
      <c r="E500" s="137"/>
      <c r="F500" s="137"/>
    </row>
    <row r="501">
      <c r="C501" s="137"/>
      <c r="D501" s="137"/>
      <c r="E501" s="137"/>
      <c r="F501" s="137"/>
    </row>
    <row r="502">
      <c r="C502" s="137"/>
      <c r="D502" s="137"/>
      <c r="E502" s="137"/>
      <c r="F502" s="137"/>
    </row>
    <row r="503">
      <c r="C503" s="137"/>
      <c r="D503" s="137"/>
      <c r="E503" s="137"/>
      <c r="F503" s="137"/>
    </row>
    <row r="504">
      <c r="C504" s="137"/>
      <c r="D504" s="137"/>
      <c r="E504" s="137"/>
      <c r="F504" s="137"/>
    </row>
    <row r="505">
      <c r="C505" s="137"/>
      <c r="D505" s="137"/>
      <c r="E505" s="137"/>
      <c r="F505" s="137"/>
    </row>
    <row r="506">
      <c r="C506" s="137"/>
      <c r="D506" s="137"/>
      <c r="E506" s="137"/>
      <c r="F506" s="137"/>
    </row>
    <row r="507">
      <c r="C507" s="137"/>
      <c r="D507" s="137"/>
      <c r="E507" s="137"/>
      <c r="F507" s="137"/>
    </row>
    <row r="508">
      <c r="C508" s="137"/>
      <c r="D508" s="137"/>
      <c r="E508" s="137"/>
      <c r="F508" s="137"/>
    </row>
    <row r="509">
      <c r="C509" s="137"/>
      <c r="D509" s="137"/>
      <c r="E509" s="137"/>
      <c r="F509" s="137"/>
    </row>
    <row r="510">
      <c r="C510" s="137"/>
      <c r="D510" s="137"/>
      <c r="E510" s="137"/>
      <c r="F510" s="137"/>
    </row>
    <row r="511">
      <c r="C511" s="137"/>
      <c r="D511" s="137"/>
      <c r="E511" s="137"/>
      <c r="F511" s="137"/>
    </row>
    <row r="512">
      <c r="C512" s="137"/>
      <c r="D512" s="137"/>
      <c r="E512" s="137"/>
      <c r="F512" s="137"/>
    </row>
    <row r="513">
      <c r="C513" s="137"/>
      <c r="D513" s="137"/>
      <c r="E513" s="137"/>
      <c r="F513" s="137"/>
    </row>
    <row r="514">
      <c r="C514" s="137"/>
      <c r="D514" s="137"/>
      <c r="E514" s="137"/>
      <c r="F514" s="137"/>
    </row>
    <row r="515">
      <c r="C515" s="137"/>
      <c r="D515" s="137"/>
      <c r="E515" s="137"/>
      <c r="F515" s="137"/>
    </row>
    <row r="516">
      <c r="C516" s="137"/>
      <c r="D516" s="137"/>
      <c r="E516" s="137"/>
      <c r="F516" s="137"/>
    </row>
    <row r="517">
      <c r="C517" s="137"/>
      <c r="D517" s="137"/>
      <c r="E517" s="137"/>
      <c r="F517" s="137"/>
    </row>
    <row r="518">
      <c r="C518" s="137"/>
      <c r="D518" s="137"/>
      <c r="E518" s="137"/>
      <c r="F518" s="137"/>
    </row>
    <row r="519">
      <c r="C519" s="137"/>
      <c r="D519" s="137"/>
      <c r="E519" s="137"/>
      <c r="F519" s="137"/>
    </row>
    <row r="520">
      <c r="C520" s="137"/>
      <c r="D520" s="137"/>
      <c r="E520" s="137"/>
      <c r="F520" s="137"/>
    </row>
    <row r="521">
      <c r="C521" s="137"/>
      <c r="D521" s="137"/>
      <c r="E521" s="137"/>
      <c r="F521" s="137"/>
    </row>
    <row r="522">
      <c r="C522" s="137"/>
      <c r="D522" s="137"/>
      <c r="E522" s="137"/>
      <c r="F522" s="137"/>
    </row>
    <row r="523">
      <c r="C523" s="137"/>
      <c r="D523" s="137"/>
      <c r="E523" s="137"/>
      <c r="F523" s="137"/>
    </row>
    <row r="524">
      <c r="C524" s="137"/>
      <c r="D524" s="137"/>
      <c r="E524" s="137"/>
      <c r="F524" s="137"/>
    </row>
    <row r="525">
      <c r="C525" s="137"/>
      <c r="D525" s="137"/>
      <c r="E525" s="137"/>
      <c r="F525" s="137"/>
    </row>
    <row r="526">
      <c r="C526" s="137"/>
      <c r="D526" s="137"/>
      <c r="E526" s="137"/>
      <c r="F526" s="137"/>
    </row>
    <row r="527">
      <c r="C527" s="137"/>
      <c r="D527" s="137"/>
      <c r="E527" s="137"/>
      <c r="F527" s="137"/>
    </row>
    <row r="528">
      <c r="C528" s="137"/>
      <c r="D528" s="137"/>
      <c r="E528" s="137"/>
      <c r="F528" s="137"/>
    </row>
    <row r="529">
      <c r="C529" s="137"/>
      <c r="D529" s="137"/>
      <c r="E529" s="137"/>
      <c r="F529" s="137"/>
    </row>
    <row r="530">
      <c r="C530" s="137"/>
      <c r="D530" s="137"/>
      <c r="E530" s="137"/>
      <c r="F530" s="137"/>
    </row>
    <row r="531">
      <c r="C531" s="137"/>
      <c r="D531" s="137"/>
      <c r="E531" s="137"/>
      <c r="F531" s="137"/>
    </row>
    <row r="532">
      <c r="C532" s="137"/>
      <c r="D532" s="137"/>
      <c r="E532" s="137"/>
      <c r="F532" s="137"/>
    </row>
    <row r="533">
      <c r="C533" s="137"/>
      <c r="D533" s="137"/>
      <c r="E533" s="137"/>
      <c r="F533" s="137"/>
    </row>
    <row r="534">
      <c r="C534" s="137"/>
      <c r="D534" s="137"/>
      <c r="E534" s="137"/>
      <c r="F534" s="137"/>
    </row>
    <row r="535">
      <c r="C535" s="137"/>
      <c r="D535" s="137"/>
      <c r="E535" s="137"/>
      <c r="F535" s="137"/>
    </row>
    <row r="536">
      <c r="C536" s="137"/>
      <c r="D536" s="137"/>
      <c r="E536" s="137"/>
      <c r="F536" s="137"/>
    </row>
    <row r="537">
      <c r="C537" s="137"/>
      <c r="D537" s="137"/>
      <c r="E537" s="137"/>
      <c r="F537" s="137"/>
    </row>
    <row r="538">
      <c r="C538" s="137"/>
      <c r="D538" s="137"/>
      <c r="E538" s="137"/>
      <c r="F538" s="137"/>
    </row>
    <row r="539">
      <c r="C539" s="137"/>
      <c r="D539" s="137"/>
      <c r="E539" s="137"/>
      <c r="F539" s="137"/>
    </row>
    <row r="540">
      <c r="C540" s="137"/>
      <c r="D540" s="137"/>
      <c r="E540" s="137"/>
      <c r="F540" s="137"/>
    </row>
    <row r="541">
      <c r="C541" s="137"/>
      <c r="D541" s="137"/>
      <c r="E541" s="137"/>
      <c r="F541" s="137"/>
    </row>
    <row r="542">
      <c r="C542" s="137"/>
      <c r="D542" s="137"/>
      <c r="E542" s="137"/>
      <c r="F542" s="137"/>
    </row>
    <row r="543">
      <c r="C543" s="137"/>
      <c r="D543" s="137"/>
      <c r="E543" s="137"/>
      <c r="F543" s="137"/>
    </row>
    <row r="544">
      <c r="C544" s="137"/>
      <c r="D544" s="137"/>
      <c r="E544" s="137"/>
      <c r="F544" s="137"/>
    </row>
    <row r="545">
      <c r="C545" s="137"/>
      <c r="D545" s="137"/>
      <c r="E545" s="137"/>
      <c r="F545" s="137"/>
    </row>
    <row r="546">
      <c r="C546" s="137"/>
      <c r="D546" s="137"/>
      <c r="E546" s="137"/>
      <c r="F546" s="137"/>
    </row>
    <row r="547">
      <c r="C547" s="137"/>
      <c r="D547" s="137"/>
      <c r="E547" s="137"/>
      <c r="F547" s="137"/>
    </row>
    <row r="548">
      <c r="C548" s="137"/>
      <c r="D548" s="137"/>
      <c r="E548" s="137"/>
      <c r="F548" s="137"/>
    </row>
    <row r="549">
      <c r="C549" s="137"/>
      <c r="D549" s="137"/>
      <c r="E549" s="137"/>
      <c r="F549" s="137"/>
    </row>
    <row r="550">
      <c r="C550" s="137"/>
      <c r="D550" s="137"/>
      <c r="E550" s="137"/>
      <c r="F550" s="137"/>
    </row>
    <row r="551">
      <c r="C551" s="137"/>
      <c r="D551" s="137"/>
      <c r="E551" s="137"/>
      <c r="F551" s="137"/>
    </row>
    <row r="552">
      <c r="C552" s="137"/>
      <c r="D552" s="137"/>
      <c r="E552" s="137"/>
      <c r="F552" s="137"/>
    </row>
    <row r="553">
      <c r="C553" s="137"/>
      <c r="D553" s="137"/>
      <c r="E553" s="137"/>
      <c r="F553" s="137"/>
    </row>
    <row r="554">
      <c r="C554" s="137"/>
      <c r="D554" s="137"/>
      <c r="E554" s="137"/>
      <c r="F554" s="137"/>
    </row>
    <row r="555">
      <c r="C555" s="137"/>
      <c r="D555" s="137"/>
      <c r="E555" s="137"/>
      <c r="F555" s="137"/>
    </row>
    <row r="556">
      <c r="C556" s="137"/>
      <c r="D556" s="137"/>
      <c r="E556" s="137"/>
      <c r="F556" s="137"/>
    </row>
    <row r="557">
      <c r="C557" s="137"/>
      <c r="D557" s="137"/>
      <c r="E557" s="137"/>
      <c r="F557" s="137"/>
    </row>
    <row r="558">
      <c r="C558" s="137"/>
      <c r="D558" s="137"/>
      <c r="E558" s="137"/>
      <c r="F558" s="137"/>
    </row>
    <row r="559">
      <c r="C559" s="137"/>
      <c r="D559" s="137"/>
      <c r="E559" s="137"/>
      <c r="F559" s="137"/>
    </row>
    <row r="560">
      <c r="C560" s="137"/>
      <c r="D560" s="137"/>
      <c r="E560" s="137"/>
      <c r="F560" s="137"/>
    </row>
    <row r="561">
      <c r="C561" s="137"/>
      <c r="D561" s="137"/>
      <c r="E561" s="137"/>
      <c r="F561" s="137"/>
    </row>
    <row r="562">
      <c r="C562" s="137"/>
      <c r="D562" s="137"/>
      <c r="E562" s="137"/>
      <c r="F562" s="137"/>
    </row>
    <row r="563">
      <c r="C563" s="137"/>
      <c r="D563" s="137"/>
      <c r="E563" s="137"/>
      <c r="F563" s="137"/>
    </row>
    <row r="564">
      <c r="C564" s="137"/>
      <c r="D564" s="137"/>
      <c r="E564" s="137"/>
      <c r="F564" s="137"/>
    </row>
    <row r="565">
      <c r="C565" s="137"/>
      <c r="D565" s="137"/>
      <c r="E565" s="137"/>
      <c r="F565" s="137"/>
    </row>
    <row r="566">
      <c r="C566" s="137"/>
      <c r="D566" s="137"/>
      <c r="E566" s="137"/>
      <c r="F566" s="137"/>
    </row>
    <row r="567">
      <c r="C567" s="137"/>
      <c r="D567" s="137"/>
      <c r="E567" s="137"/>
      <c r="F567" s="137"/>
    </row>
    <row r="568">
      <c r="C568" s="137"/>
      <c r="D568" s="137"/>
      <c r="E568" s="137"/>
      <c r="F568" s="137"/>
    </row>
    <row r="569">
      <c r="C569" s="137"/>
      <c r="D569" s="137"/>
      <c r="E569" s="137"/>
      <c r="F569" s="137"/>
    </row>
    <row r="570">
      <c r="C570" s="137"/>
      <c r="D570" s="137"/>
      <c r="E570" s="137"/>
      <c r="F570" s="137"/>
    </row>
    <row r="571">
      <c r="C571" s="137"/>
      <c r="D571" s="137"/>
      <c r="E571" s="137"/>
      <c r="F571" s="137"/>
    </row>
    <row r="572">
      <c r="C572" s="137"/>
      <c r="D572" s="137"/>
      <c r="E572" s="137"/>
      <c r="F572" s="137"/>
    </row>
    <row r="573">
      <c r="C573" s="137"/>
      <c r="D573" s="137"/>
      <c r="E573" s="137"/>
      <c r="F573" s="137"/>
    </row>
    <row r="574">
      <c r="C574" s="137"/>
      <c r="D574" s="137"/>
      <c r="E574" s="137"/>
      <c r="F574" s="137"/>
    </row>
    <row r="575">
      <c r="C575" s="137"/>
      <c r="D575" s="137"/>
      <c r="E575" s="137"/>
      <c r="F575" s="137"/>
    </row>
    <row r="576">
      <c r="C576" s="137"/>
      <c r="D576" s="137"/>
      <c r="E576" s="137"/>
      <c r="F576" s="137"/>
    </row>
    <row r="577">
      <c r="C577" s="137"/>
      <c r="D577" s="137"/>
      <c r="E577" s="137"/>
      <c r="F577" s="137"/>
    </row>
    <row r="578">
      <c r="C578" s="137"/>
      <c r="D578" s="137"/>
      <c r="E578" s="137"/>
      <c r="F578" s="137"/>
    </row>
    <row r="579">
      <c r="C579" s="137"/>
      <c r="D579" s="137"/>
      <c r="E579" s="137"/>
      <c r="F579" s="137"/>
    </row>
    <row r="580">
      <c r="C580" s="137"/>
      <c r="D580" s="137"/>
      <c r="E580" s="137"/>
      <c r="F580" s="137"/>
    </row>
    <row r="581">
      <c r="C581" s="137"/>
      <c r="D581" s="137"/>
      <c r="E581" s="137"/>
      <c r="F581" s="137"/>
    </row>
    <row r="582">
      <c r="C582" s="137"/>
      <c r="D582" s="137"/>
      <c r="E582" s="137"/>
      <c r="F582" s="137"/>
    </row>
    <row r="583">
      <c r="C583" s="137"/>
      <c r="D583" s="137"/>
      <c r="E583" s="137"/>
      <c r="F583" s="137"/>
    </row>
    <row r="584">
      <c r="C584" s="137"/>
      <c r="D584" s="137"/>
      <c r="E584" s="137"/>
      <c r="F584" s="137"/>
    </row>
    <row r="585">
      <c r="C585" s="137"/>
      <c r="D585" s="137"/>
      <c r="E585" s="137"/>
      <c r="F585" s="137"/>
    </row>
    <row r="586">
      <c r="C586" s="137"/>
      <c r="D586" s="137"/>
      <c r="E586" s="137"/>
      <c r="F586" s="137"/>
    </row>
    <row r="587">
      <c r="C587" s="137"/>
      <c r="D587" s="137"/>
      <c r="E587" s="137"/>
      <c r="F587" s="137"/>
    </row>
    <row r="588">
      <c r="C588" s="137"/>
      <c r="D588" s="137"/>
      <c r="E588" s="137"/>
      <c r="F588" s="137"/>
    </row>
    <row r="589">
      <c r="C589" s="137"/>
      <c r="D589" s="137"/>
      <c r="E589" s="137"/>
      <c r="F589" s="137"/>
    </row>
    <row r="590">
      <c r="C590" s="137"/>
      <c r="D590" s="137"/>
      <c r="E590" s="137"/>
      <c r="F590" s="137"/>
    </row>
    <row r="591">
      <c r="C591" s="137"/>
      <c r="D591" s="137"/>
      <c r="E591" s="137"/>
      <c r="F591" s="137"/>
    </row>
    <row r="592">
      <c r="C592" s="137"/>
      <c r="D592" s="137"/>
      <c r="E592" s="137"/>
      <c r="F592" s="137"/>
    </row>
    <row r="593">
      <c r="C593" s="137"/>
      <c r="D593" s="137"/>
      <c r="E593" s="137"/>
      <c r="F593" s="137"/>
    </row>
    <row r="594">
      <c r="C594" s="137"/>
      <c r="D594" s="137"/>
      <c r="E594" s="137"/>
      <c r="F594" s="137"/>
    </row>
    <row r="595">
      <c r="C595" s="137"/>
      <c r="D595" s="137"/>
      <c r="E595" s="137"/>
      <c r="F595" s="137"/>
    </row>
    <row r="596">
      <c r="C596" s="137"/>
      <c r="D596" s="137"/>
      <c r="E596" s="137"/>
      <c r="F596" s="137"/>
    </row>
    <row r="597">
      <c r="C597" s="137"/>
      <c r="D597" s="137"/>
      <c r="E597" s="137"/>
      <c r="F597" s="137"/>
    </row>
    <row r="598">
      <c r="C598" s="137"/>
      <c r="D598" s="137"/>
      <c r="E598" s="137"/>
      <c r="F598" s="137"/>
    </row>
    <row r="599">
      <c r="C599" s="137"/>
      <c r="D599" s="137"/>
      <c r="E599" s="137"/>
      <c r="F599" s="137"/>
    </row>
    <row r="600">
      <c r="C600" s="137"/>
      <c r="D600" s="137"/>
      <c r="E600" s="137"/>
      <c r="F600" s="137"/>
    </row>
    <row r="601">
      <c r="C601" s="137"/>
      <c r="D601" s="137"/>
      <c r="E601" s="137"/>
      <c r="F601" s="137"/>
    </row>
    <row r="602">
      <c r="C602" s="137"/>
      <c r="D602" s="137"/>
      <c r="E602" s="137"/>
      <c r="F602" s="137"/>
    </row>
    <row r="603">
      <c r="C603" s="137"/>
      <c r="D603" s="137"/>
      <c r="E603" s="137"/>
      <c r="F603" s="137"/>
    </row>
    <row r="604">
      <c r="C604" s="137"/>
      <c r="D604" s="137"/>
      <c r="E604" s="137"/>
      <c r="F604" s="137"/>
    </row>
    <row r="605">
      <c r="C605" s="137"/>
      <c r="D605" s="137"/>
      <c r="E605" s="137"/>
      <c r="F605" s="137"/>
    </row>
    <row r="606">
      <c r="C606" s="137"/>
      <c r="D606" s="137"/>
      <c r="E606" s="137"/>
      <c r="F606" s="137"/>
    </row>
    <row r="607">
      <c r="C607" s="137"/>
      <c r="D607" s="137"/>
      <c r="E607" s="137"/>
      <c r="F607" s="137"/>
    </row>
    <row r="608">
      <c r="C608" s="137"/>
      <c r="D608" s="137"/>
      <c r="E608" s="137"/>
      <c r="F608" s="137"/>
    </row>
    <row r="609">
      <c r="C609" s="137"/>
      <c r="D609" s="137"/>
      <c r="E609" s="137"/>
      <c r="F609" s="137"/>
    </row>
    <row r="610">
      <c r="C610" s="137"/>
      <c r="D610" s="137"/>
      <c r="E610" s="137"/>
      <c r="F610" s="137"/>
    </row>
    <row r="611">
      <c r="C611" s="137"/>
      <c r="D611" s="137"/>
      <c r="E611" s="137"/>
      <c r="F611" s="137"/>
    </row>
    <row r="612">
      <c r="C612" s="137"/>
      <c r="D612" s="137"/>
      <c r="E612" s="137"/>
      <c r="F612" s="137"/>
    </row>
    <row r="613">
      <c r="C613" s="137"/>
      <c r="D613" s="137"/>
      <c r="E613" s="137"/>
      <c r="F613" s="137"/>
    </row>
    <row r="614">
      <c r="C614" s="137"/>
      <c r="D614" s="137"/>
      <c r="E614" s="137"/>
      <c r="F614" s="137"/>
    </row>
    <row r="615">
      <c r="C615" s="137"/>
      <c r="D615" s="137"/>
      <c r="E615" s="137"/>
      <c r="F615" s="137"/>
    </row>
    <row r="616">
      <c r="C616" s="137"/>
      <c r="D616" s="137"/>
      <c r="E616" s="137"/>
      <c r="F616" s="137"/>
    </row>
    <row r="617">
      <c r="C617" s="137"/>
      <c r="D617" s="137"/>
      <c r="E617" s="137"/>
      <c r="F617" s="137"/>
    </row>
    <row r="618">
      <c r="C618" s="137"/>
      <c r="D618" s="137"/>
      <c r="E618" s="137"/>
      <c r="F618" s="137"/>
    </row>
    <row r="619">
      <c r="C619" s="137"/>
      <c r="D619" s="137"/>
      <c r="E619" s="137"/>
      <c r="F619" s="137"/>
    </row>
    <row r="620">
      <c r="C620" s="137"/>
      <c r="D620" s="137"/>
      <c r="E620" s="137"/>
      <c r="F620" s="137"/>
    </row>
    <row r="621">
      <c r="C621" s="137"/>
      <c r="D621" s="137"/>
      <c r="E621" s="137"/>
      <c r="F621" s="137"/>
    </row>
    <row r="622">
      <c r="C622" s="137"/>
      <c r="D622" s="137"/>
      <c r="E622" s="137"/>
      <c r="F622" s="137"/>
    </row>
    <row r="623">
      <c r="C623" s="137"/>
      <c r="D623" s="137"/>
      <c r="E623" s="137"/>
      <c r="F623" s="137"/>
    </row>
    <row r="624">
      <c r="C624" s="137"/>
      <c r="D624" s="137"/>
      <c r="E624" s="137"/>
      <c r="F624" s="137"/>
    </row>
    <row r="625">
      <c r="C625" s="137"/>
      <c r="D625" s="137"/>
      <c r="E625" s="137"/>
      <c r="F625" s="137"/>
    </row>
    <row r="626">
      <c r="C626" s="137"/>
      <c r="D626" s="137"/>
      <c r="E626" s="137"/>
      <c r="F626" s="137"/>
    </row>
    <row r="627">
      <c r="C627" s="137"/>
      <c r="D627" s="137"/>
      <c r="E627" s="137"/>
      <c r="F627" s="137"/>
    </row>
    <row r="628">
      <c r="C628" s="137"/>
      <c r="D628" s="137"/>
      <c r="E628" s="137"/>
      <c r="F628" s="137"/>
    </row>
    <row r="629">
      <c r="C629" s="137"/>
      <c r="D629" s="137"/>
      <c r="E629" s="137"/>
      <c r="F629" s="137"/>
    </row>
    <row r="630">
      <c r="C630" s="137"/>
      <c r="D630" s="137"/>
      <c r="E630" s="137"/>
      <c r="F630" s="137"/>
    </row>
    <row r="631">
      <c r="C631" s="137"/>
      <c r="D631" s="137"/>
      <c r="E631" s="137"/>
      <c r="F631" s="137"/>
    </row>
    <row r="632">
      <c r="C632" s="137"/>
      <c r="D632" s="137"/>
      <c r="E632" s="137"/>
      <c r="F632" s="137"/>
    </row>
    <row r="633">
      <c r="C633" s="137"/>
      <c r="D633" s="137"/>
      <c r="E633" s="137"/>
      <c r="F633" s="137"/>
    </row>
    <row r="634">
      <c r="C634" s="137"/>
      <c r="D634" s="137"/>
      <c r="E634" s="137"/>
      <c r="F634" s="137"/>
    </row>
    <row r="635">
      <c r="C635" s="137"/>
      <c r="D635" s="137"/>
      <c r="E635" s="137"/>
      <c r="F635" s="137"/>
    </row>
    <row r="636">
      <c r="C636" s="137"/>
      <c r="D636" s="137"/>
      <c r="E636" s="137"/>
      <c r="F636" s="137"/>
    </row>
    <row r="637">
      <c r="C637" s="137"/>
      <c r="D637" s="137"/>
      <c r="E637" s="137"/>
      <c r="F637" s="137"/>
    </row>
    <row r="638">
      <c r="C638" s="137"/>
      <c r="D638" s="137"/>
      <c r="E638" s="137"/>
      <c r="F638" s="137"/>
    </row>
    <row r="639">
      <c r="C639" s="137"/>
      <c r="D639" s="137"/>
      <c r="E639" s="137"/>
      <c r="F639" s="137"/>
    </row>
    <row r="640">
      <c r="C640" s="137"/>
      <c r="D640" s="137"/>
      <c r="E640" s="137"/>
      <c r="F640" s="137"/>
    </row>
    <row r="641">
      <c r="C641" s="137"/>
      <c r="D641" s="137"/>
      <c r="E641" s="137"/>
      <c r="F641" s="137"/>
    </row>
    <row r="642">
      <c r="C642" s="137"/>
      <c r="D642" s="137"/>
      <c r="E642" s="137"/>
      <c r="F642" s="137"/>
    </row>
    <row r="643">
      <c r="C643" s="137"/>
      <c r="D643" s="137"/>
      <c r="E643" s="137"/>
      <c r="F643" s="137"/>
    </row>
    <row r="644">
      <c r="C644" s="137"/>
      <c r="D644" s="137"/>
      <c r="E644" s="137"/>
      <c r="F644" s="137"/>
    </row>
    <row r="645">
      <c r="C645" s="137"/>
      <c r="D645" s="137"/>
      <c r="E645" s="137"/>
      <c r="F645" s="137"/>
    </row>
    <row r="646">
      <c r="C646" s="137"/>
      <c r="D646" s="137"/>
      <c r="E646" s="137"/>
      <c r="F646" s="137"/>
    </row>
    <row r="647">
      <c r="C647" s="137"/>
      <c r="D647" s="137"/>
      <c r="E647" s="137"/>
      <c r="F647" s="137"/>
    </row>
    <row r="648">
      <c r="C648" s="137"/>
      <c r="D648" s="137"/>
      <c r="E648" s="137"/>
      <c r="F648" s="137"/>
    </row>
    <row r="649">
      <c r="C649" s="137"/>
      <c r="D649" s="137"/>
      <c r="E649" s="137"/>
      <c r="F649" s="137"/>
    </row>
    <row r="650">
      <c r="C650" s="137"/>
      <c r="D650" s="137"/>
      <c r="E650" s="137"/>
      <c r="F650" s="137"/>
    </row>
    <row r="651">
      <c r="C651" s="137"/>
      <c r="D651" s="137"/>
      <c r="E651" s="137"/>
      <c r="F651" s="137"/>
    </row>
    <row r="652">
      <c r="C652" s="137"/>
      <c r="D652" s="137"/>
      <c r="E652" s="137"/>
      <c r="F652" s="137"/>
    </row>
    <row r="653">
      <c r="C653" s="137"/>
      <c r="D653" s="137"/>
      <c r="E653" s="137"/>
      <c r="F653" s="137"/>
    </row>
    <row r="654">
      <c r="C654" s="137"/>
      <c r="D654" s="137"/>
      <c r="E654" s="137"/>
      <c r="F654" s="137"/>
    </row>
    <row r="655">
      <c r="C655" s="137"/>
      <c r="D655" s="137"/>
      <c r="E655" s="137"/>
      <c r="F655" s="137"/>
    </row>
    <row r="656">
      <c r="C656" s="137"/>
      <c r="D656" s="137"/>
      <c r="E656" s="137"/>
      <c r="F656" s="137"/>
    </row>
    <row r="657">
      <c r="C657" s="137"/>
      <c r="D657" s="137"/>
      <c r="E657" s="137"/>
      <c r="F657" s="137"/>
    </row>
    <row r="658">
      <c r="C658" s="137"/>
      <c r="D658" s="137"/>
      <c r="E658" s="137"/>
      <c r="F658" s="137"/>
    </row>
    <row r="659">
      <c r="C659" s="137"/>
      <c r="D659" s="137"/>
      <c r="E659" s="137"/>
      <c r="F659" s="137"/>
    </row>
    <row r="660">
      <c r="C660" s="137"/>
      <c r="D660" s="137"/>
      <c r="E660" s="137"/>
      <c r="F660" s="137"/>
    </row>
    <row r="661">
      <c r="C661" s="137"/>
      <c r="D661" s="137"/>
      <c r="E661" s="137"/>
      <c r="F661" s="137"/>
    </row>
    <row r="662">
      <c r="C662" s="137"/>
      <c r="D662" s="137"/>
      <c r="E662" s="137"/>
      <c r="F662" s="137"/>
    </row>
    <row r="663">
      <c r="C663" s="137"/>
      <c r="D663" s="137"/>
      <c r="E663" s="137"/>
      <c r="F663" s="137"/>
    </row>
    <row r="664">
      <c r="C664" s="137"/>
      <c r="D664" s="137"/>
      <c r="E664" s="137"/>
      <c r="F664" s="137"/>
    </row>
    <row r="665">
      <c r="C665" s="137"/>
      <c r="D665" s="137"/>
      <c r="E665" s="137"/>
      <c r="F665" s="137"/>
    </row>
    <row r="666">
      <c r="C666" s="137"/>
      <c r="D666" s="137"/>
      <c r="E666" s="137"/>
      <c r="F666" s="137"/>
    </row>
    <row r="667">
      <c r="C667" s="137"/>
      <c r="D667" s="137"/>
      <c r="E667" s="137"/>
      <c r="F667" s="137"/>
    </row>
    <row r="668">
      <c r="C668" s="137"/>
      <c r="D668" s="137"/>
      <c r="E668" s="137"/>
      <c r="F668" s="137"/>
    </row>
    <row r="669">
      <c r="C669" s="137"/>
      <c r="D669" s="137"/>
      <c r="E669" s="137"/>
      <c r="F669" s="137"/>
    </row>
    <row r="670">
      <c r="C670" s="137"/>
      <c r="D670" s="137"/>
      <c r="E670" s="137"/>
      <c r="F670" s="137"/>
    </row>
    <row r="671">
      <c r="C671" s="137"/>
      <c r="D671" s="137"/>
      <c r="E671" s="137"/>
      <c r="F671" s="137"/>
    </row>
    <row r="672">
      <c r="C672" s="137"/>
      <c r="D672" s="137"/>
      <c r="E672" s="137"/>
      <c r="F672" s="137"/>
    </row>
    <row r="673">
      <c r="C673" s="137"/>
      <c r="D673" s="137"/>
      <c r="E673" s="137"/>
      <c r="F673" s="137"/>
    </row>
    <row r="674">
      <c r="C674" s="137"/>
      <c r="D674" s="137"/>
      <c r="E674" s="137"/>
      <c r="F674" s="137"/>
    </row>
    <row r="675">
      <c r="C675" s="137"/>
      <c r="D675" s="137"/>
      <c r="E675" s="137"/>
      <c r="F675" s="137"/>
    </row>
    <row r="676">
      <c r="C676" s="137"/>
      <c r="D676" s="137"/>
      <c r="E676" s="137"/>
      <c r="F676" s="137"/>
    </row>
    <row r="677">
      <c r="C677" s="137"/>
      <c r="D677" s="137"/>
      <c r="E677" s="137"/>
      <c r="F677" s="137"/>
    </row>
    <row r="678">
      <c r="C678" s="137"/>
      <c r="D678" s="137"/>
      <c r="E678" s="137"/>
      <c r="F678" s="137"/>
    </row>
    <row r="679">
      <c r="C679" s="137"/>
      <c r="D679" s="137"/>
      <c r="E679" s="137"/>
      <c r="F679" s="137"/>
    </row>
    <row r="680">
      <c r="C680" s="137"/>
      <c r="D680" s="137"/>
      <c r="E680" s="137"/>
      <c r="F680" s="137"/>
    </row>
    <row r="681">
      <c r="C681" s="137"/>
      <c r="D681" s="137"/>
      <c r="E681" s="137"/>
      <c r="F681" s="137"/>
    </row>
    <row r="682">
      <c r="C682" s="137"/>
      <c r="D682" s="137"/>
      <c r="E682" s="137"/>
      <c r="F682" s="137"/>
    </row>
    <row r="683">
      <c r="C683" s="137"/>
      <c r="D683" s="137"/>
      <c r="E683" s="137"/>
      <c r="F683" s="137"/>
    </row>
    <row r="684">
      <c r="C684" s="137"/>
      <c r="D684" s="137"/>
      <c r="E684" s="137"/>
      <c r="F684" s="137"/>
    </row>
    <row r="685">
      <c r="C685" s="137"/>
      <c r="D685" s="137"/>
      <c r="E685" s="137"/>
      <c r="F685" s="137"/>
    </row>
    <row r="686">
      <c r="C686" s="137"/>
      <c r="D686" s="137"/>
      <c r="E686" s="137"/>
      <c r="F686" s="137"/>
    </row>
    <row r="687">
      <c r="C687" s="137"/>
      <c r="D687" s="137"/>
      <c r="E687" s="137"/>
      <c r="F687" s="137"/>
    </row>
    <row r="688">
      <c r="C688" s="137"/>
      <c r="D688" s="137"/>
      <c r="E688" s="137"/>
      <c r="F688" s="137"/>
    </row>
    <row r="689">
      <c r="C689" s="137"/>
      <c r="D689" s="137"/>
      <c r="E689" s="137"/>
      <c r="F689" s="137"/>
    </row>
    <row r="690">
      <c r="C690" s="137"/>
      <c r="D690" s="137"/>
      <c r="E690" s="137"/>
      <c r="F690" s="137"/>
    </row>
    <row r="691">
      <c r="C691" s="137"/>
      <c r="D691" s="137"/>
      <c r="E691" s="137"/>
      <c r="F691" s="137"/>
    </row>
    <row r="692">
      <c r="C692" s="137"/>
      <c r="D692" s="137"/>
      <c r="E692" s="137"/>
      <c r="F692" s="137"/>
    </row>
    <row r="693">
      <c r="C693" s="137"/>
      <c r="D693" s="137"/>
      <c r="E693" s="137"/>
      <c r="F693" s="137"/>
    </row>
    <row r="694">
      <c r="C694" s="137"/>
      <c r="D694" s="137"/>
      <c r="E694" s="137"/>
      <c r="F694" s="137"/>
    </row>
    <row r="695">
      <c r="C695" s="137"/>
      <c r="D695" s="137"/>
      <c r="E695" s="137"/>
      <c r="F695" s="137"/>
    </row>
    <row r="696">
      <c r="C696" s="137"/>
      <c r="D696" s="137"/>
      <c r="E696" s="137"/>
      <c r="F696" s="137"/>
    </row>
    <row r="697">
      <c r="C697" s="137"/>
      <c r="D697" s="137"/>
      <c r="E697" s="137"/>
      <c r="F697" s="137"/>
    </row>
    <row r="698">
      <c r="C698" s="137"/>
      <c r="D698" s="137"/>
      <c r="E698" s="137"/>
      <c r="F698" s="137"/>
    </row>
    <row r="699">
      <c r="C699" s="137"/>
      <c r="D699" s="137"/>
      <c r="E699" s="137"/>
      <c r="F699" s="137"/>
    </row>
    <row r="700">
      <c r="C700" s="137"/>
      <c r="D700" s="137"/>
      <c r="E700" s="137"/>
      <c r="F700" s="137"/>
    </row>
    <row r="701">
      <c r="C701" s="137"/>
      <c r="D701" s="137"/>
      <c r="E701" s="137"/>
      <c r="F701" s="137"/>
    </row>
    <row r="702">
      <c r="C702" s="137"/>
      <c r="D702" s="137"/>
      <c r="E702" s="137"/>
      <c r="F702" s="137"/>
    </row>
    <row r="703">
      <c r="C703" s="137"/>
      <c r="D703" s="137"/>
      <c r="E703" s="137"/>
      <c r="F703" s="137"/>
    </row>
    <row r="704">
      <c r="C704" s="137"/>
      <c r="D704" s="137"/>
      <c r="E704" s="137"/>
      <c r="F704" s="137"/>
    </row>
    <row r="705">
      <c r="C705" s="137"/>
      <c r="D705" s="137"/>
      <c r="E705" s="137"/>
      <c r="F705" s="137"/>
    </row>
    <row r="706">
      <c r="C706" s="137"/>
      <c r="D706" s="137"/>
      <c r="E706" s="137"/>
      <c r="F706" s="137"/>
    </row>
    <row r="707">
      <c r="C707" s="137"/>
      <c r="D707" s="137"/>
      <c r="E707" s="137"/>
      <c r="F707" s="137"/>
    </row>
    <row r="708">
      <c r="C708" s="137"/>
      <c r="D708" s="137"/>
      <c r="E708" s="137"/>
      <c r="F708" s="137"/>
    </row>
    <row r="709">
      <c r="C709" s="137"/>
      <c r="D709" s="137"/>
      <c r="E709" s="137"/>
      <c r="F709" s="137"/>
    </row>
    <row r="710">
      <c r="C710" s="137"/>
      <c r="D710" s="137"/>
      <c r="E710" s="137"/>
      <c r="F710" s="137"/>
    </row>
    <row r="711">
      <c r="C711" s="137"/>
      <c r="D711" s="137"/>
      <c r="E711" s="137"/>
      <c r="F711" s="137"/>
    </row>
    <row r="712">
      <c r="C712" s="137"/>
      <c r="D712" s="137"/>
      <c r="E712" s="137"/>
      <c r="F712" s="137"/>
    </row>
    <row r="713">
      <c r="C713" s="137"/>
      <c r="D713" s="137"/>
      <c r="E713" s="137"/>
      <c r="F713" s="137"/>
    </row>
    <row r="714">
      <c r="C714" s="137"/>
      <c r="D714" s="137"/>
      <c r="E714" s="137"/>
      <c r="F714" s="137"/>
    </row>
    <row r="715">
      <c r="C715" s="137"/>
      <c r="D715" s="137"/>
      <c r="E715" s="137"/>
      <c r="F715" s="137"/>
    </row>
    <row r="716">
      <c r="C716" s="137"/>
      <c r="D716" s="137"/>
      <c r="E716" s="137"/>
      <c r="F716" s="137"/>
    </row>
    <row r="717">
      <c r="C717" s="137"/>
      <c r="D717" s="137"/>
      <c r="E717" s="137"/>
      <c r="F717" s="137"/>
    </row>
    <row r="718">
      <c r="C718" s="137"/>
      <c r="D718" s="137"/>
      <c r="E718" s="137"/>
      <c r="F718" s="137"/>
    </row>
    <row r="719">
      <c r="C719" s="137"/>
      <c r="D719" s="137"/>
      <c r="E719" s="137"/>
      <c r="F719" s="137"/>
    </row>
    <row r="720">
      <c r="C720" s="137"/>
      <c r="D720" s="137"/>
      <c r="E720" s="137"/>
      <c r="F720" s="137"/>
    </row>
    <row r="721">
      <c r="C721" s="137"/>
      <c r="D721" s="137"/>
      <c r="E721" s="137"/>
      <c r="F721" s="137"/>
    </row>
    <row r="722">
      <c r="C722" s="137"/>
      <c r="D722" s="137"/>
      <c r="E722" s="137"/>
      <c r="F722" s="137"/>
    </row>
    <row r="723">
      <c r="C723" s="137"/>
      <c r="D723" s="137"/>
      <c r="E723" s="137"/>
      <c r="F723" s="137"/>
    </row>
    <row r="724">
      <c r="C724" s="137"/>
      <c r="D724" s="137"/>
      <c r="E724" s="137"/>
      <c r="F724" s="137"/>
    </row>
    <row r="725">
      <c r="C725" s="137"/>
      <c r="D725" s="137"/>
      <c r="E725" s="137"/>
      <c r="F725" s="137"/>
    </row>
    <row r="726">
      <c r="C726" s="137"/>
      <c r="D726" s="137"/>
      <c r="E726" s="137"/>
      <c r="F726" s="137"/>
    </row>
    <row r="727">
      <c r="C727" s="137"/>
      <c r="D727" s="137"/>
      <c r="E727" s="137"/>
      <c r="F727" s="137"/>
    </row>
    <row r="728">
      <c r="C728" s="137"/>
      <c r="D728" s="137"/>
      <c r="E728" s="137"/>
      <c r="F728" s="137"/>
    </row>
    <row r="729">
      <c r="C729" s="137"/>
      <c r="D729" s="137"/>
      <c r="E729" s="137"/>
      <c r="F729" s="137"/>
    </row>
    <row r="730">
      <c r="C730" s="137"/>
      <c r="D730" s="137"/>
      <c r="E730" s="137"/>
      <c r="F730" s="137"/>
    </row>
    <row r="731">
      <c r="C731" s="137"/>
      <c r="D731" s="137"/>
      <c r="E731" s="137"/>
      <c r="F731" s="137"/>
    </row>
    <row r="732">
      <c r="C732" s="137"/>
      <c r="D732" s="137"/>
      <c r="E732" s="137"/>
      <c r="F732" s="137"/>
    </row>
    <row r="733">
      <c r="C733" s="137"/>
      <c r="D733" s="137"/>
      <c r="E733" s="137"/>
      <c r="F733" s="137"/>
    </row>
    <row r="734">
      <c r="C734" s="137"/>
      <c r="D734" s="137"/>
      <c r="E734" s="137"/>
      <c r="F734" s="137"/>
    </row>
    <row r="735">
      <c r="C735" s="137"/>
      <c r="D735" s="137"/>
      <c r="E735" s="137"/>
      <c r="F735" s="137"/>
    </row>
    <row r="736">
      <c r="C736" s="137"/>
      <c r="D736" s="137"/>
      <c r="E736" s="137"/>
      <c r="F736" s="137"/>
    </row>
    <row r="737">
      <c r="C737" s="137"/>
      <c r="D737" s="137"/>
      <c r="E737" s="137"/>
      <c r="F737" s="137"/>
    </row>
    <row r="738">
      <c r="C738" s="137"/>
      <c r="D738" s="137"/>
      <c r="E738" s="137"/>
      <c r="F738" s="137"/>
    </row>
    <row r="739">
      <c r="C739" s="137"/>
      <c r="D739" s="137"/>
      <c r="E739" s="137"/>
      <c r="F739" s="137"/>
    </row>
    <row r="740">
      <c r="C740" s="137"/>
      <c r="D740" s="137"/>
      <c r="E740" s="137"/>
      <c r="F740" s="137"/>
    </row>
    <row r="741">
      <c r="C741" s="137"/>
      <c r="D741" s="137"/>
      <c r="E741" s="137"/>
      <c r="F741" s="137"/>
    </row>
    <row r="742">
      <c r="C742" s="137"/>
      <c r="D742" s="137"/>
      <c r="E742" s="137"/>
      <c r="F742" s="137"/>
    </row>
    <row r="743">
      <c r="C743" s="137"/>
      <c r="D743" s="137"/>
      <c r="E743" s="137"/>
      <c r="F743" s="137"/>
    </row>
    <row r="744">
      <c r="C744" s="137"/>
      <c r="D744" s="137"/>
      <c r="E744" s="137"/>
      <c r="F744" s="137"/>
    </row>
    <row r="745">
      <c r="C745" s="137"/>
      <c r="D745" s="137"/>
      <c r="E745" s="137"/>
      <c r="F745" s="137"/>
    </row>
    <row r="746">
      <c r="C746" s="137"/>
      <c r="D746" s="137"/>
      <c r="E746" s="137"/>
      <c r="F746" s="137"/>
    </row>
    <row r="747">
      <c r="C747" s="137"/>
      <c r="D747" s="137"/>
      <c r="E747" s="137"/>
      <c r="F747" s="137"/>
    </row>
    <row r="748">
      <c r="C748" s="137"/>
      <c r="D748" s="137"/>
      <c r="E748" s="137"/>
      <c r="F748" s="137"/>
    </row>
    <row r="749">
      <c r="C749" s="137"/>
      <c r="D749" s="137"/>
      <c r="E749" s="137"/>
      <c r="F749" s="137"/>
    </row>
    <row r="750">
      <c r="C750" s="137"/>
      <c r="D750" s="137"/>
      <c r="E750" s="137"/>
      <c r="F750" s="137"/>
    </row>
    <row r="751">
      <c r="C751" s="137"/>
      <c r="D751" s="137"/>
      <c r="E751" s="137"/>
      <c r="F751" s="137"/>
    </row>
    <row r="752">
      <c r="C752" s="137"/>
      <c r="D752" s="137"/>
      <c r="E752" s="137"/>
      <c r="F752" s="137"/>
    </row>
    <row r="753">
      <c r="C753" s="137"/>
      <c r="D753" s="137"/>
      <c r="E753" s="137"/>
      <c r="F753" s="137"/>
    </row>
    <row r="754">
      <c r="C754" s="137"/>
      <c r="D754" s="137"/>
      <c r="E754" s="137"/>
      <c r="F754" s="137"/>
    </row>
    <row r="755">
      <c r="C755" s="137"/>
      <c r="D755" s="137"/>
      <c r="E755" s="137"/>
      <c r="F755" s="137"/>
    </row>
    <row r="756">
      <c r="C756" s="137"/>
      <c r="D756" s="137"/>
      <c r="E756" s="137"/>
      <c r="F756" s="137"/>
    </row>
    <row r="757">
      <c r="C757" s="137"/>
      <c r="D757" s="137"/>
      <c r="E757" s="137"/>
      <c r="F757" s="137"/>
    </row>
    <row r="758">
      <c r="C758" s="137"/>
      <c r="D758" s="137"/>
      <c r="E758" s="137"/>
      <c r="F758" s="137"/>
    </row>
    <row r="759">
      <c r="C759" s="137"/>
      <c r="D759" s="137"/>
      <c r="E759" s="137"/>
      <c r="F759" s="137"/>
    </row>
    <row r="760">
      <c r="C760" s="137"/>
      <c r="D760" s="137"/>
      <c r="E760" s="137"/>
      <c r="F760" s="137"/>
    </row>
    <row r="761">
      <c r="C761" s="137"/>
      <c r="D761" s="137"/>
      <c r="E761" s="137"/>
      <c r="F761" s="137"/>
    </row>
    <row r="762">
      <c r="C762" s="137"/>
      <c r="D762" s="137"/>
      <c r="E762" s="137"/>
      <c r="F762" s="137"/>
    </row>
    <row r="763">
      <c r="C763" s="137"/>
      <c r="D763" s="137"/>
      <c r="E763" s="137"/>
      <c r="F763" s="137"/>
    </row>
    <row r="764">
      <c r="C764" s="137"/>
      <c r="D764" s="137"/>
      <c r="E764" s="137"/>
      <c r="F764" s="137"/>
    </row>
    <row r="765">
      <c r="C765" s="137"/>
      <c r="D765" s="137"/>
      <c r="E765" s="137"/>
      <c r="F765" s="137"/>
    </row>
    <row r="766">
      <c r="C766" s="137"/>
      <c r="D766" s="137"/>
      <c r="E766" s="137"/>
      <c r="F766" s="137"/>
    </row>
    <row r="767">
      <c r="C767" s="137"/>
      <c r="D767" s="137"/>
      <c r="E767" s="137"/>
      <c r="F767" s="137"/>
    </row>
    <row r="768">
      <c r="C768" s="137"/>
      <c r="D768" s="137"/>
      <c r="E768" s="137"/>
      <c r="F768" s="137"/>
    </row>
    <row r="769">
      <c r="C769" s="137"/>
      <c r="D769" s="137"/>
      <c r="E769" s="137"/>
      <c r="F769" s="137"/>
    </row>
    <row r="770">
      <c r="C770" s="137"/>
      <c r="D770" s="137"/>
      <c r="E770" s="137"/>
      <c r="F770" s="137"/>
    </row>
    <row r="771">
      <c r="C771" s="137"/>
      <c r="D771" s="137"/>
      <c r="E771" s="137"/>
      <c r="F771" s="137"/>
    </row>
    <row r="772">
      <c r="C772" s="137"/>
      <c r="D772" s="137"/>
      <c r="E772" s="137"/>
      <c r="F772" s="137"/>
    </row>
    <row r="773">
      <c r="C773" s="137"/>
      <c r="D773" s="137"/>
      <c r="E773" s="137"/>
      <c r="F773" s="137"/>
    </row>
    <row r="774">
      <c r="C774" s="137"/>
      <c r="D774" s="137"/>
      <c r="E774" s="137"/>
      <c r="F774" s="137"/>
    </row>
    <row r="775">
      <c r="C775" s="137"/>
      <c r="D775" s="137"/>
      <c r="E775" s="137"/>
      <c r="F775" s="137"/>
    </row>
    <row r="776">
      <c r="C776" s="137"/>
      <c r="D776" s="137"/>
      <c r="E776" s="137"/>
      <c r="F776" s="137"/>
    </row>
    <row r="777">
      <c r="C777" s="137"/>
      <c r="D777" s="137"/>
      <c r="E777" s="137"/>
      <c r="F777" s="137"/>
    </row>
    <row r="778">
      <c r="C778" s="137"/>
      <c r="D778" s="137"/>
      <c r="E778" s="137"/>
      <c r="F778" s="137"/>
    </row>
    <row r="779">
      <c r="C779" s="137"/>
      <c r="D779" s="137"/>
      <c r="E779" s="137"/>
      <c r="F779" s="137"/>
    </row>
    <row r="780">
      <c r="C780" s="137"/>
      <c r="D780" s="137"/>
      <c r="E780" s="137"/>
      <c r="F780" s="137"/>
    </row>
    <row r="781">
      <c r="C781" s="137"/>
      <c r="D781" s="137"/>
      <c r="E781" s="137"/>
      <c r="F781" s="137"/>
    </row>
    <row r="782">
      <c r="C782" s="137"/>
      <c r="D782" s="137"/>
      <c r="E782" s="137"/>
      <c r="F782" s="137"/>
    </row>
    <row r="783">
      <c r="C783" s="137"/>
      <c r="D783" s="137"/>
      <c r="E783" s="137"/>
      <c r="F783" s="137"/>
    </row>
    <row r="784">
      <c r="C784" s="137"/>
      <c r="D784" s="137"/>
      <c r="E784" s="137"/>
      <c r="F784" s="137"/>
    </row>
    <row r="785">
      <c r="C785" s="137"/>
      <c r="D785" s="137"/>
      <c r="E785" s="137"/>
      <c r="F785" s="137"/>
    </row>
    <row r="786">
      <c r="C786" s="137"/>
      <c r="D786" s="137"/>
      <c r="E786" s="137"/>
      <c r="F786" s="137"/>
    </row>
    <row r="787">
      <c r="C787" s="137"/>
      <c r="D787" s="137"/>
      <c r="E787" s="137"/>
      <c r="F787" s="137"/>
    </row>
    <row r="788">
      <c r="C788" s="137"/>
      <c r="D788" s="137"/>
      <c r="E788" s="137"/>
      <c r="F788" s="137"/>
    </row>
    <row r="789">
      <c r="C789" s="137"/>
      <c r="D789" s="137"/>
      <c r="E789" s="137"/>
      <c r="F789" s="137"/>
    </row>
    <row r="790">
      <c r="C790" s="137"/>
      <c r="D790" s="137"/>
      <c r="E790" s="137"/>
      <c r="F790" s="137"/>
    </row>
    <row r="791">
      <c r="C791" s="137"/>
      <c r="D791" s="137"/>
      <c r="E791" s="137"/>
      <c r="F791" s="137"/>
    </row>
    <row r="792">
      <c r="C792" s="137"/>
      <c r="D792" s="137"/>
      <c r="E792" s="137"/>
      <c r="F792" s="137"/>
    </row>
    <row r="793">
      <c r="C793" s="137"/>
      <c r="D793" s="137"/>
      <c r="E793" s="137"/>
      <c r="F793" s="137"/>
    </row>
    <row r="794">
      <c r="C794" s="137"/>
      <c r="D794" s="137"/>
      <c r="E794" s="137"/>
      <c r="F794" s="137"/>
    </row>
    <row r="795">
      <c r="C795" s="137"/>
      <c r="D795" s="137"/>
      <c r="E795" s="137"/>
      <c r="F795" s="137"/>
    </row>
    <row r="796">
      <c r="C796" s="137"/>
      <c r="D796" s="137"/>
      <c r="E796" s="137"/>
      <c r="F796" s="137"/>
    </row>
    <row r="797">
      <c r="C797" s="137"/>
      <c r="D797" s="137"/>
      <c r="E797" s="137"/>
      <c r="F797" s="137"/>
    </row>
    <row r="798">
      <c r="C798" s="137"/>
      <c r="D798" s="137"/>
      <c r="E798" s="137"/>
      <c r="F798" s="137"/>
    </row>
    <row r="799">
      <c r="C799" s="137"/>
      <c r="D799" s="137"/>
      <c r="E799" s="137"/>
      <c r="F799" s="137"/>
    </row>
    <row r="800">
      <c r="C800" s="137"/>
      <c r="D800" s="137"/>
      <c r="E800" s="137"/>
      <c r="F800" s="137"/>
    </row>
    <row r="801">
      <c r="C801" s="137"/>
      <c r="D801" s="137"/>
      <c r="E801" s="137"/>
      <c r="F801" s="137"/>
    </row>
    <row r="802">
      <c r="C802" s="137"/>
      <c r="D802" s="137"/>
      <c r="E802" s="137"/>
      <c r="F802" s="137"/>
    </row>
    <row r="803">
      <c r="C803" s="137"/>
      <c r="D803" s="137"/>
      <c r="E803" s="137"/>
      <c r="F803" s="137"/>
    </row>
    <row r="804">
      <c r="C804" s="137"/>
      <c r="D804" s="137"/>
      <c r="E804" s="137"/>
      <c r="F804" s="137"/>
    </row>
    <row r="805">
      <c r="C805" s="137"/>
      <c r="D805" s="137"/>
      <c r="E805" s="137"/>
      <c r="F805" s="137"/>
    </row>
    <row r="806">
      <c r="C806" s="137"/>
      <c r="D806" s="137"/>
      <c r="E806" s="137"/>
      <c r="F806" s="137"/>
    </row>
    <row r="807">
      <c r="C807" s="137"/>
      <c r="D807" s="137"/>
      <c r="E807" s="137"/>
      <c r="F807" s="137"/>
    </row>
    <row r="808">
      <c r="C808" s="137"/>
      <c r="D808" s="137"/>
      <c r="E808" s="137"/>
      <c r="F808" s="137"/>
    </row>
    <row r="809">
      <c r="C809" s="137"/>
      <c r="D809" s="137"/>
      <c r="E809" s="137"/>
      <c r="F809" s="137"/>
    </row>
    <row r="810">
      <c r="C810" s="137"/>
      <c r="D810" s="137"/>
      <c r="E810" s="137"/>
      <c r="F810" s="137"/>
    </row>
    <row r="811">
      <c r="C811" s="137"/>
      <c r="D811" s="137"/>
      <c r="E811" s="137"/>
      <c r="F811" s="137"/>
    </row>
    <row r="812">
      <c r="C812" s="137"/>
      <c r="D812" s="137"/>
      <c r="E812" s="137"/>
      <c r="F812" s="137"/>
    </row>
    <row r="813">
      <c r="C813" s="137"/>
      <c r="D813" s="137"/>
      <c r="E813" s="137"/>
      <c r="F813" s="137"/>
    </row>
    <row r="814">
      <c r="C814" s="137"/>
      <c r="D814" s="137"/>
      <c r="E814" s="137"/>
      <c r="F814" s="137"/>
    </row>
    <row r="815">
      <c r="C815" s="137"/>
      <c r="D815" s="137"/>
      <c r="E815" s="137"/>
      <c r="F815" s="137"/>
    </row>
    <row r="816">
      <c r="C816" s="137"/>
      <c r="D816" s="137"/>
      <c r="E816" s="137"/>
      <c r="F816" s="137"/>
    </row>
    <row r="817">
      <c r="C817" s="137"/>
      <c r="D817" s="137"/>
      <c r="E817" s="137"/>
      <c r="F817" s="137"/>
    </row>
    <row r="818">
      <c r="C818" s="137"/>
      <c r="D818" s="137"/>
      <c r="E818" s="137"/>
      <c r="F818" s="137"/>
    </row>
    <row r="819">
      <c r="C819" s="137"/>
      <c r="D819" s="137"/>
      <c r="E819" s="137"/>
      <c r="F819" s="137"/>
    </row>
    <row r="820">
      <c r="C820" s="137"/>
      <c r="D820" s="137"/>
      <c r="E820" s="137"/>
      <c r="F820" s="137"/>
    </row>
    <row r="821">
      <c r="C821" s="137"/>
      <c r="D821" s="137"/>
      <c r="E821" s="137"/>
      <c r="F821" s="137"/>
    </row>
    <row r="822">
      <c r="C822" s="137"/>
      <c r="D822" s="137"/>
      <c r="E822" s="137"/>
      <c r="F822" s="137"/>
    </row>
    <row r="823">
      <c r="C823" s="137"/>
      <c r="D823" s="137"/>
      <c r="E823" s="137"/>
      <c r="F823" s="137"/>
    </row>
    <row r="824">
      <c r="C824" s="137"/>
      <c r="D824" s="137"/>
      <c r="E824" s="137"/>
      <c r="F824" s="137"/>
    </row>
    <row r="825">
      <c r="C825" s="137"/>
      <c r="D825" s="137"/>
      <c r="E825" s="137"/>
      <c r="F825" s="137"/>
    </row>
    <row r="826">
      <c r="C826" s="137"/>
      <c r="D826" s="137"/>
      <c r="E826" s="137"/>
      <c r="F826" s="137"/>
    </row>
    <row r="827">
      <c r="C827" s="137"/>
      <c r="D827" s="137"/>
      <c r="E827" s="137"/>
      <c r="F827" s="137"/>
    </row>
    <row r="828">
      <c r="C828" s="137"/>
      <c r="D828" s="137"/>
      <c r="E828" s="137"/>
      <c r="F828" s="137"/>
    </row>
    <row r="829">
      <c r="C829" s="137"/>
      <c r="D829" s="137"/>
      <c r="E829" s="137"/>
      <c r="F829" s="137"/>
    </row>
    <row r="830">
      <c r="C830" s="137"/>
      <c r="D830" s="137"/>
      <c r="E830" s="137"/>
      <c r="F830" s="137"/>
    </row>
    <row r="831">
      <c r="C831" s="137"/>
      <c r="D831" s="137"/>
      <c r="E831" s="137"/>
      <c r="F831" s="137"/>
    </row>
    <row r="832">
      <c r="C832" s="137"/>
      <c r="D832" s="137"/>
      <c r="E832" s="137"/>
      <c r="F832" s="137"/>
    </row>
    <row r="833">
      <c r="C833" s="137"/>
      <c r="D833" s="137"/>
      <c r="E833" s="137"/>
      <c r="F833" s="137"/>
    </row>
    <row r="834">
      <c r="C834" s="137"/>
      <c r="D834" s="137"/>
      <c r="E834" s="137"/>
      <c r="F834" s="137"/>
    </row>
    <row r="835">
      <c r="C835" s="137"/>
      <c r="D835" s="137"/>
      <c r="E835" s="137"/>
      <c r="F835" s="137"/>
    </row>
    <row r="836">
      <c r="C836" s="137"/>
      <c r="D836" s="137"/>
      <c r="E836" s="137"/>
      <c r="F836" s="137"/>
    </row>
    <row r="837">
      <c r="C837" s="137"/>
      <c r="D837" s="137"/>
      <c r="E837" s="137"/>
      <c r="F837" s="137"/>
    </row>
    <row r="838">
      <c r="C838" s="137"/>
      <c r="D838" s="137"/>
      <c r="E838" s="137"/>
      <c r="F838" s="137"/>
    </row>
    <row r="839">
      <c r="C839" s="137"/>
      <c r="D839" s="137"/>
      <c r="E839" s="137"/>
      <c r="F839" s="137"/>
    </row>
    <row r="840">
      <c r="C840" s="137"/>
      <c r="D840" s="137"/>
      <c r="E840" s="137"/>
      <c r="F840" s="137"/>
    </row>
    <row r="841">
      <c r="C841" s="137"/>
      <c r="D841" s="137"/>
      <c r="E841" s="137"/>
      <c r="F841" s="137"/>
    </row>
    <row r="842">
      <c r="C842" s="137"/>
      <c r="D842" s="137"/>
      <c r="E842" s="137"/>
      <c r="F842" s="137"/>
    </row>
    <row r="843">
      <c r="C843" s="137"/>
      <c r="D843" s="137"/>
      <c r="E843" s="137"/>
      <c r="F843" s="137"/>
    </row>
    <row r="844">
      <c r="C844" s="137"/>
      <c r="D844" s="137"/>
      <c r="E844" s="137"/>
      <c r="F844" s="137"/>
    </row>
    <row r="845">
      <c r="C845" s="137"/>
      <c r="D845" s="137"/>
      <c r="E845" s="137"/>
      <c r="F845" s="137"/>
    </row>
    <row r="846">
      <c r="C846" s="137"/>
      <c r="D846" s="137"/>
      <c r="E846" s="137"/>
      <c r="F846" s="137"/>
    </row>
    <row r="847">
      <c r="C847" s="137"/>
      <c r="D847" s="137"/>
      <c r="E847" s="137"/>
      <c r="F847" s="137"/>
    </row>
    <row r="848">
      <c r="C848" s="137"/>
      <c r="D848" s="137"/>
      <c r="E848" s="137"/>
      <c r="F848" s="137"/>
    </row>
    <row r="849">
      <c r="C849" s="137"/>
      <c r="D849" s="137"/>
      <c r="E849" s="137"/>
      <c r="F849" s="137"/>
    </row>
    <row r="850">
      <c r="C850" s="137"/>
      <c r="D850" s="137"/>
      <c r="E850" s="137"/>
      <c r="F850" s="137"/>
    </row>
    <row r="851">
      <c r="C851" s="137"/>
      <c r="D851" s="137"/>
      <c r="E851" s="137"/>
      <c r="F851" s="137"/>
    </row>
    <row r="852">
      <c r="C852" s="137"/>
      <c r="D852" s="137"/>
      <c r="E852" s="137"/>
      <c r="F852" s="137"/>
    </row>
    <row r="853">
      <c r="C853" s="137"/>
      <c r="D853" s="137"/>
      <c r="E853" s="137"/>
      <c r="F853" s="137"/>
    </row>
    <row r="854">
      <c r="C854" s="137"/>
      <c r="D854" s="137"/>
      <c r="E854" s="137"/>
      <c r="F854" s="137"/>
    </row>
    <row r="855">
      <c r="C855" s="137"/>
      <c r="D855" s="137"/>
      <c r="E855" s="137"/>
      <c r="F855" s="137"/>
    </row>
    <row r="856">
      <c r="C856" s="137"/>
      <c r="D856" s="137"/>
      <c r="E856" s="137"/>
      <c r="F856" s="137"/>
    </row>
    <row r="857">
      <c r="C857" s="137"/>
      <c r="D857" s="137"/>
      <c r="E857" s="137"/>
      <c r="F857" s="137"/>
    </row>
    <row r="858">
      <c r="C858" s="137"/>
      <c r="D858" s="137"/>
      <c r="E858" s="137"/>
      <c r="F858" s="137"/>
    </row>
    <row r="859">
      <c r="C859" s="137"/>
      <c r="D859" s="137"/>
      <c r="E859" s="137"/>
      <c r="F859" s="137"/>
    </row>
    <row r="860">
      <c r="C860" s="137"/>
      <c r="D860" s="137"/>
      <c r="E860" s="137"/>
      <c r="F860" s="137"/>
    </row>
    <row r="861">
      <c r="C861" s="137"/>
      <c r="D861" s="137"/>
      <c r="E861" s="137"/>
      <c r="F861" s="137"/>
    </row>
    <row r="862">
      <c r="C862" s="137"/>
      <c r="D862" s="137"/>
      <c r="E862" s="137"/>
      <c r="F862" s="137"/>
    </row>
    <row r="863">
      <c r="C863" s="137"/>
      <c r="D863" s="137"/>
      <c r="E863" s="137"/>
      <c r="F863" s="137"/>
    </row>
    <row r="864">
      <c r="C864" s="137"/>
      <c r="D864" s="137"/>
      <c r="E864" s="137"/>
      <c r="F864" s="137"/>
    </row>
    <row r="865">
      <c r="C865" s="137"/>
      <c r="D865" s="137"/>
      <c r="E865" s="137"/>
      <c r="F865" s="137"/>
    </row>
    <row r="866">
      <c r="C866" s="137"/>
      <c r="D866" s="137"/>
      <c r="E866" s="137"/>
      <c r="F866" s="137"/>
    </row>
    <row r="867">
      <c r="C867" s="137"/>
      <c r="D867" s="137"/>
      <c r="E867" s="137"/>
      <c r="F867" s="137"/>
    </row>
    <row r="868">
      <c r="C868" s="137"/>
      <c r="D868" s="137"/>
      <c r="E868" s="137"/>
      <c r="F868" s="137"/>
    </row>
    <row r="869">
      <c r="C869" s="137"/>
      <c r="D869" s="137"/>
      <c r="E869" s="137"/>
      <c r="F869" s="137"/>
    </row>
    <row r="870">
      <c r="C870" s="137"/>
      <c r="D870" s="137"/>
      <c r="E870" s="137"/>
      <c r="F870" s="137"/>
    </row>
    <row r="871">
      <c r="C871" s="137"/>
      <c r="D871" s="137"/>
      <c r="E871" s="137"/>
      <c r="F871" s="137"/>
    </row>
    <row r="872">
      <c r="C872" s="137"/>
      <c r="D872" s="137"/>
      <c r="E872" s="137"/>
      <c r="F872" s="137"/>
    </row>
    <row r="873">
      <c r="C873" s="137"/>
      <c r="D873" s="137"/>
      <c r="E873" s="137"/>
      <c r="F873" s="137"/>
    </row>
    <row r="874">
      <c r="C874" s="137"/>
      <c r="D874" s="137"/>
      <c r="E874" s="137"/>
      <c r="F874" s="137"/>
    </row>
    <row r="875">
      <c r="C875" s="137"/>
      <c r="D875" s="137"/>
      <c r="E875" s="137"/>
      <c r="F875" s="137"/>
    </row>
    <row r="876">
      <c r="C876" s="137"/>
      <c r="D876" s="137"/>
      <c r="E876" s="137"/>
      <c r="F876" s="137"/>
    </row>
    <row r="877">
      <c r="C877" s="137"/>
      <c r="D877" s="137"/>
      <c r="E877" s="137"/>
      <c r="F877" s="137"/>
    </row>
    <row r="878">
      <c r="C878" s="137"/>
      <c r="D878" s="137"/>
      <c r="E878" s="137"/>
      <c r="F878" s="137"/>
    </row>
    <row r="879">
      <c r="C879" s="137"/>
      <c r="D879" s="137"/>
      <c r="E879" s="137"/>
      <c r="F879" s="137"/>
    </row>
    <row r="880">
      <c r="C880" s="137"/>
      <c r="D880" s="137"/>
      <c r="E880" s="137"/>
      <c r="F880" s="137"/>
    </row>
    <row r="881">
      <c r="C881" s="137"/>
      <c r="D881" s="137"/>
      <c r="E881" s="137"/>
      <c r="F881" s="137"/>
    </row>
    <row r="882">
      <c r="C882" s="137"/>
      <c r="D882" s="137"/>
      <c r="E882" s="137"/>
      <c r="F882" s="137"/>
    </row>
    <row r="883">
      <c r="C883" s="137"/>
      <c r="D883" s="137"/>
      <c r="E883" s="137"/>
      <c r="F883" s="137"/>
    </row>
    <row r="884">
      <c r="C884" s="137"/>
      <c r="D884" s="137"/>
      <c r="E884" s="137"/>
      <c r="F884" s="137"/>
    </row>
    <row r="885">
      <c r="C885" s="137"/>
      <c r="D885" s="137"/>
      <c r="E885" s="137"/>
      <c r="F885" s="137"/>
    </row>
    <row r="886">
      <c r="C886" s="137"/>
      <c r="D886" s="137"/>
      <c r="E886" s="137"/>
      <c r="F886" s="137"/>
    </row>
    <row r="887">
      <c r="C887" s="137"/>
      <c r="D887" s="137"/>
      <c r="E887" s="137"/>
      <c r="F887" s="137"/>
    </row>
    <row r="888">
      <c r="C888" s="137"/>
      <c r="D888" s="137"/>
      <c r="E888" s="137"/>
      <c r="F888" s="137"/>
    </row>
    <row r="889">
      <c r="C889" s="137"/>
      <c r="D889" s="137"/>
      <c r="E889" s="137"/>
      <c r="F889" s="137"/>
    </row>
    <row r="890">
      <c r="C890" s="137"/>
      <c r="D890" s="137"/>
      <c r="E890" s="137"/>
      <c r="F890" s="137"/>
    </row>
    <row r="891">
      <c r="C891" s="137"/>
      <c r="D891" s="137"/>
      <c r="E891" s="137"/>
      <c r="F891" s="137"/>
    </row>
    <row r="892">
      <c r="C892" s="137"/>
      <c r="D892" s="137"/>
      <c r="E892" s="137"/>
      <c r="F892" s="137"/>
    </row>
    <row r="893">
      <c r="C893" s="137"/>
      <c r="D893" s="137"/>
      <c r="E893" s="137"/>
      <c r="F893" s="137"/>
    </row>
    <row r="894">
      <c r="C894" s="137"/>
      <c r="D894" s="137"/>
      <c r="E894" s="137"/>
      <c r="F894" s="137"/>
    </row>
    <row r="895">
      <c r="C895" s="137"/>
      <c r="D895" s="137"/>
      <c r="E895" s="137"/>
      <c r="F895" s="137"/>
    </row>
    <row r="896">
      <c r="C896" s="137"/>
      <c r="D896" s="137"/>
      <c r="E896" s="137"/>
      <c r="F896" s="137"/>
    </row>
    <row r="897">
      <c r="C897" s="137"/>
      <c r="D897" s="137"/>
      <c r="E897" s="137"/>
      <c r="F897" s="137"/>
    </row>
    <row r="898">
      <c r="C898" s="137"/>
      <c r="D898" s="137"/>
      <c r="E898" s="137"/>
      <c r="F898" s="137"/>
    </row>
    <row r="899">
      <c r="C899" s="137"/>
      <c r="D899" s="137"/>
      <c r="E899" s="137"/>
      <c r="F899" s="137"/>
    </row>
    <row r="900">
      <c r="C900" s="137"/>
      <c r="D900" s="137"/>
      <c r="E900" s="137"/>
      <c r="F900" s="137"/>
    </row>
    <row r="901">
      <c r="C901" s="137"/>
      <c r="D901" s="137"/>
      <c r="E901" s="137"/>
      <c r="F901" s="137"/>
    </row>
    <row r="902">
      <c r="C902" s="137"/>
      <c r="D902" s="137"/>
      <c r="E902" s="137"/>
      <c r="F902" s="137"/>
    </row>
    <row r="903">
      <c r="C903" s="137"/>
      <c r="D903" s="137"/>
      <c r="E903" s="137"/>
      <c r="F903" s="137"/>
    </row>
    <row r="904">
      <c r="C904" s="137"/>
      <c r="D904" s="137"/>
      <c r="E904" s="137"/>
      <c r="F904" s="137"/>
    </row>
    <row r="905">
      <c r="C905" s="137"/>
      <c r="D905" s="137"/>
      <c r="E905" s="137"/>
      <c r="F905" s="137"/>
    </row>
    <row r="906">
      <c r="C906" s="137"/>
      <c r="D906" s="137"/>
      <c r="E906" s="137"/>
      <c r="F906" s="137"/>
    </row>
    <row r="907">
      <c r="C907" s="137"/>
      <c r="D907" s="137"/>
      <c r="E907" s="137"/>
      <c r="F907" s="137"/>
    </row>
    <row r="908">
      <c r="C908" s="137"/>
      <c r="D908" s="137"/>
      <c r="E908" s="137"/>
      <c r="F908" s="137"/>
    </row>
    <row r="909">
      <c r="C909" s="137"/>
      <c r="D909" s="137"/>
      <c r="E909" s="137"/>
      <c r="F909" s="137"/>
    </row>
    <row r="910">
      <c r="C910" s="137"/>
      <c r="D910" s="137"/>
      <c r="E910" s="137"/>
      <c r="F910" s="137"/>
    </row>
    <row r="911">
      <c r="C911" s="137"/>
      <c r="D911" s="137"/>
      <c r="E911" s="137"/>
      <c r="F911" s="137"/>
    </row>
    <row r="912">
      <c r="C912" s="137"/>
      <c r="D912" s="137"/>
      <c r="E912" s="137"/>
      <c r="F912" s="137"/>
    </row>
    <row r="913">
      <c r="C913" s="137"/>
      <c r="D913" s="137"/>
      <c r="E913" s="137"/>
      <c r="F913" s="137"/>
    </row>
    <row r="914">
      <c r="C914" s="137"/>
      <c r="D914" s="137"/>
      <c r="E914" s="137"/>
      <c r="F914" s="137"/>
    </row>
    <row r="915">
      <c r="C915" s="137"/>
      <c r="D915" s="137"/>
      <c r="E915" s="137"/>
      <c r="F915" s="137"/>
    </row>
    <row r="916">
      <c r="C916" s="137"/>
      <c r="D916" s="137"/>
      <c r="E916" s="137"/>
      <c r="F916" s="137"/>
    </row>
    <row r="917">
      <c r="C917" s="137"/>
      <c r="D917" s="137"/>
      <c r="E917" s="137"/>
      <c r="F917" s="137"/>
    </row>
    <row r="918">
      <c r="C918" s="137"/>
      <c r="D918" s="137"/>
      <c r="E918" s="137"/>
      <c r="F918" s="137"/>
    </row>
    <row r="919">
      <c r="C919" s="137"/>
      <c r="D919" s="137"/>
      <c r="E919" s="137"/>
      <c r="F919" s="137"/>
    </row>
    <row r="920">
      <c r="C920" s="137"/>
      <c r="D920" s="137"/>
      <c r="E920" s="137"/>
      <c r="F920" s="137"/>
    </row>
    <row r="921">
      <c r="C921" s="137"/>
      <c r="D921" s="137"/>
      <c r="E921" s="137"/>
      <c r="F921" s="137"/>
    </row>
    <row r="922">
      <c r="C922" s="137"/>
      <c r="D922" s="137"/>
      <c r="E922" s="137"/>
      <c r="F922" s="137"/>
    </row>
    <row r="923">
      <c r="C923" s="137"/>
      <c r="D923" s="137"/>
      <c r="E923" s="137"/>
      <c r="F923" s="137"/>
    </row>
    <row r="924">
      <c r="C924" s="137"/>
      <c r="D924" s="137"/>
      <c r="E924" s="137"/>
      <c r="F924" s="137"/>
    </row>
    <row r="925">
      <c r="C925" s="137"/>
      <c r="D925" s="137"/>
      <c r="E925" s="137"/>
      <c r="F925" s="137"/>
    </row>
    <row r="926">
      <c r="C926" s="137"/>
      <c r="D926" s="137"/>
      <c r="E926" s="137"/>
      <c r="F926" s="137"/>
    </row>
    <row r="927">
      <c r="C927" s="137"/>
      <c r="D927" s="137"/>
      <c r="E927" s="137"/>
      <c r="F927" s="137"/>
    </row>
    <row r="928">
      <c r="C928" s="137"/>
      <c r="D928" s="137"/>
      <c r="E928" s="137"/>
      <c r="F928" s="137"/>
    </row>
    <row r="929">
      <c r="C929" s="137"/>
      <c r="D929" s="137"/>
      <c r="E929" s="137"/>
      <c r="F929" s="137"/>
    </row>
    <row r="930">
      <c r="C930" s="137"/>
      <c r="D930" s="137"/>
      <c r="E930" s="137"/>
      <c r="F930" s="137"/>
    </row>
    <row r="931">
      <c r="C931" s="137"/>
      <c r="D931" s="137"/>
      <c r="E931" s="137"/>
      <c r="F931" s="137"/>
    </row>
    <row r="932">
      <c r="C932" s="137"/>
      <c r="D932" s="137"/>
      <c r="E932" s="137"/>
      <c r="F932" s="137"/>
    </row>
    <row r="933">
      <c r="C933" s="137"/>
      <c r="D933" s="137"/>
      <c r="E933" s="137"/>
      <c r="F933" s="137"/>
    </row>
    <row r="934">
      <c r="C934" s="137"/>
      <c r="D934" s="137"/>
      <c r="E934" s="137"/>
      <c r="F934" s="137"/>
    </row>
    <row r="935">
      <c r="C935" s="137"/>
      <c r="D935" s="137"/>
      <c r="E935" s="137"/>
      <c r="F935" s="137"/>
    </row>
    <row r="936">
      <c r="C936" s="137"/>
      <c r="D936" s="137"/>
      <c r="E936" s="137"/>
      <c r="F936" s="137"/>
    </row>
    <row r="937">
      <c r="C937" s="137"/>
      <c r="D937" s="137"/>
      <c r="E937" s="137"/>
      <c r="F937" s="137"/>
    </row>
    <row r="938">
      <c r="C938" s="137"/>
      <c r="D938" s="137"/>
      <c r="E938" s="137"/>
      <c r="F938" s="137"/>
    </row>
    <row r="939">
      <c r="C939" s="137"/>
      <c r="D939" s="137"/>
      <c r="E939" s="137"/>
      <c r="F939" s="137"/>
    </row>
    <row r="940">
      <c r="C940" s="137"/>
      <c r="D940" s="137"/>
      <c r="E940" s="137"/>
      <c r="F940" s="137"/>
    </row>
    <row r="941">
      <c r="C941" s="137"/>
      <c r="D941" s="137"/>
      <c r="E941" s="137"/>
      <c r="F941" s="137"/>
    </row>
    <row r="942">
      <c r="C942" s="137"/>
      <c r="D942" s="137"/>
      <c r="E942" s="137"/>
      <c r="F942" s="137"/>
    </row>
    <row r="943">
      <c r="C943" s="137"/>
      <c r="D943" s="137"/>
      <c r="E943" s="137"/>
      <c r="F943" s="137"/>
    </row>
    <row r="944">
      <c r="C944" s="137"/>
      <c r="D944" s="137"/>
      <c r="E944" s="137"/>
      <c r="F944" s="137"/>
    </row>
    <row r="945">
      <c r="C945" s="137"/>
      <c r="D945" s="137"/>
      <c r="E945" s="137"/>
      <c r="F945" s="137"/>
    </row>
    <row r="946">
      <c r="C946" s="137"/>
      <c r="D946" s="137"/>
      <c r="E946" s="137"/>
      <c r="F946" s="137"/>
    </row>
    <row r="947">
      <c r="C947" s="137"/>
      <c r="D947" s="137"/>
      <c r="E947" s="137"/>
      <c r="F947" s="137"/>
    </row>
    <row r="948">
      <c r="C948" s="137"/>
      <c r="D948" s="137"/>
      <c r="E948" s="137"/>
      <c r="F948" s="137"/>
    </row>
    <row r="949">
      <c r="C949" s="137"/>
      <c r="D949" s="137"/>
      <c r="E949" s="137"/>
      <c r="F949" s="137"/>
    </row>
    <row r="950">
      <c r="C950" s="137"/>
      <c r="D950" s="137"/>
      <c r="E950" s="137"/>
      <c r="F950" s="137"/>
    </row>
    <row r="951">
      <c r="C951" s="137"/>
      <c r="D951" s="137"/>
      <c r="E951" s="137"/>
      <c r="F951" s="137"/>
    </row>
    <row r="952">
      <c r="C952" s="137"/>
      <c r="D952" s="137"/>
      <c r="E952" s="137"/>
      <c r="F952" s="137"/>
    </row>
    <row r="953">
      <c r="C953" s="137"/>
      <c r="D953" s="137"/>
      <c r="E953" s="137"/>
      <c r="F953" s="137"/>
    </row>
    <row r="954">
      <c r="C954" s="137"/>
      <c r="D954" s="137"/>
      <c r="E954" s="137"/>
      <c r="F954" s="137"/>
    </row>
    <row r="955">
      <c r="C955" s="137"/>
      <c r="D955" s="137"/>
      <c r="E955" s="137"/>
      <c r="F955" s="137"/>
    </row>
    <row r="956">
      <c r="C956" s="137"/>
      <c r="D956" s="137"/>
      <c r="E956" s="137"/>
      <c r="F956" s="137"/>
    </row>
    <row r="957">
      <c r="C957" s="137"/>
      <c r="D957" s="137"/>
      <c r="E957" s="137"/>
      <c r="F957" s="137"/>
    </row>
    <row r="958">
      <c r="C958" s="137"/>
      <c r="D958" s="137"/>
      <c r="E958" s="137"/>
      <c r="F958" s="137"/>
    </row>
    <row r="959">
      <c r="C959" s="137"/>
      <c r="D959" s="137"/>
      <c r="E959" s="137"/>
      <c r="F959" s="137"/>
    </row>
    <row r="960">
      <c r="C960" s="137"/>
      <c r="D960" s="137"/>
      <c r="E960" s="137"/>
      <c r="F960" s="137"/>
    </row>
    <row r="961">
      <c r="C961" s="137"/>
      <c r="D961" s="137"/>
      <c r="E961" s="137"/>
      <c r="F961" s="137"/>
    </row>
    <row r="962">
      <c r="C962" s="137"/>
      <c r="D962" s="137"/>
      <c r="E962" s="137"/>
      <c r="F962" s="137"/>
    </row>
    <row r="963">
      <c r="C963" s="137"/>
      <c r="D963" s="137"/>
      <c r="E963" s="137"/>
      <c r="F963" s="13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.88"/>
    <col customWidth="1" min="2" max="2" width="8.63"/>
    <col customWidth="1" min="3" max="3" width="22.63"/>
    <col customWidth="1" min="4" max="4" width="5.13"/>
    <col customWidth="1" min="5" max="25" width="8.63"/>
  </cols>
  <sheetData>
    <row r="1" ht="14.25" customHeight="1">
      <c r="A1" s="163"/>
      <c r="B1" s="164" t="s">
        <v>625</v>
      </c>
      <c r="C1" s="165"/>
      <c r="D1" s="166"/>
      <c r="E1" s="63"/>
      <c r="H1" s="167">
        <f t="shared" ref="H1:I1" si="1">SUM(H2:H199)</f>
        <v>48200</v>
      </c>
      <c r="I1" s="167">
        <f t="shared" si="1"/>
        <v>33689</v>
      </c>
      <c r="J1" s="167">
        <f>H1-I1</f>
        <v>14511</v>
      </c>
    </row>
    <row r="2" ht="14.25" customHeight="1">
      <c r="A2" s="168" t="s">
        <v>626</v>
      </c>
      <c r="B2" s="168" t="s">
        <v>627</v>
      </c>
      <c r="C2" s="163" t="s">
        <v>628</v>
      </c>
      <c r="D2" s="163" t="s">
        <v>629</v>
      </c>
      <c r="E2" s="63"/>
      <c r="H2" s="106">
        <v>1620.0</v>
      </c>
      <c r="I2" s="106">
        <v>2875.0</v>
      </c>
    </row>
    <row r="3" ht="14.25" customHeight="1">
      <c r="A3" s="136">
        <v>1.0</v>
      </c>
      <c r="B3" s="134" t="s">
        <v>63</v>
      </c>
      <c r="C3" s="135" t="s">
        <v>64</v>
      </c>
      <c r="D3" s="169">
        <v>12.0</v>
      </c>
      <c r="E3" s="63">
        <f>D3*3000</f>
        <v>36000</v>
      </c>
      <c r="H3" s="106">
        <v>3080.0</v>
      </c>
      <c r="I3" s="106">
        <v>4354.0</v>
      </c>
    </row>
    <row r="4" ht="14.25" customHeight="1">
      <c r="A4" s="136">
        <v>2.0</v>
      </c>
      <c r="B4" s="134" t="s">
        <v>143</v>
      </c>
      <c r="C4" s="135" t="s">
        <v>144</v>
      </c>
      <c r="D4" s="169">
        <v>12.0</v>
      </c>
      <c r="E4" s="63">
        <f t="shared" ref="E4:E19" si="2">D4*2500</f>
        <v>30000</v>
      </c>
      <c r="H4" s="106">
        <v>3000.0</v>
      </c>
      <c r="I4" s="106">
        <v>4972.0</v>
      </c>
    </row>
    <row r="5" ht="14.25" customHeight="1">
      <c r="A5" s="136">
        <v>3.0</v>
      </c>
      <c r="B5" s="134" t="s">
        <v>156</v>
      </c>
      <c r="C5" s="135" t="s">
        <v>157</v>
      </c>
      <c r="D5" s="169">
        <v>12.0</v>
      </c>
      <c r="E5" s="63">
        <f t="shared" si="2"/>
        <v>30000</v>
      </c>
      <c r="H5" s="106">
        <v>1500.0</v>
      </c>
      <c r="I5" s="106">
        <v>450.0</v>
      </c>
    </row>
    <row r="6" ht="14.25" customHeight="1">
      <c r="A6" s="136">
        <v>4.0</v>
      </c>
      <c r="B6" s="134" t="s">
        <v>186</v>
      </c>
      <c r="C6" s="135" t="s">
        <v>187</v>
      </c>
      <c r="D6" s="169">
        <v>12.0</v>
      </c>
      <c r="E6" s="63">
        <f t="shared" si="2"/>
        <v>30000</v>
      </c>
      <c r="H6" s="106">
        <v>500.0</v>
      </c>
      <c r="I6" s="106">
        <v>370.0</v>
      </c>
    </row>
    <row r="7" ht="14.25" customHeight="1">
      <c r="A7" s="136">
        <v>5.0</v>
      </c>
      <c r="B7" s="134" t="s">
        <v>216</v>
      </c>
      <c r="C7" s="135" t="s">
        <v>217</v>
      </c>
      <c r="D7" s="169">
        <v>12.0</v>
      </c>
      <c r="E7" s="63">
        <f t="shared" si="2"/>
        <v>30000</v>
      </c>
      <c r="H7" s="106">
        <v>500.0</v>
      </c>
      <c r="I7" s="106">
        <v>2000.0</v>
      </c>
    </row>
    <row r="8" ht="14.25" customHeight="1">
      <c r="A8" s="136">
        <v>6.0</v>
      </c>
      <c r="B8" s="134" t="s">
        <v>277</v>
      </c>
      <c r="C8" s="135" t="s">
        <v>278</v>
      </c>
      <c r="D8" s="169">
        <v>12.0</v>
      </c>
      <c r="E8" s="63">
        <f t="shared" si="2"/>
        <v>30000</v>
      </c>
      <c r="H8" s="106">
        <v>4500.0</v>
      </c>
      <c r="I8" s="106">
        <v>300.0</v>
      </c>
    </row>
    <row r="9" ht="14.25" customHeight="1">
      <c r="A9" s="136">
        <v>7.0</v>
      </c>
      <c r="B9" s="134" t="s">
        <v>298</v>
      </c>
      <c r="C9" s="135" t="s">
        <v>299</v>
      </c>
      <c r="D9" s="169">
        <v>12.0</v>
      </c>
      <c r="E9" s="63">
        <f t="shared" si="2"/>
        <v>30000</v>
      </c>
      <c r="H9" s="106">
        <v>1000.0</v>
      </c>
      <c r="I9" s="106">
        <v>300.0</v>
      </c>
    </row>
    <row r="10" ht="14.25" customHeight="1">
      <c r="A10" s="136">
        <v>8.0</v>
      </c>
      <c r="B10" s="134" t="s">
        <v>300</v>
      </c>
      <c r="C10" s="135" t="s">
        <v>301</v>
      </c>
      <c r="D10" s="169">
        <v>12.0</v>
      </c>
      <c r="E10" s="63">
        <f t="shared" si="2"/>
        <v>30000</v>
      </c>
      <c r="H10" s="106">
        <v>5000.0</v>
      </c>
      <c r="I10" s="106">
        <v>2140.0</v>
      </c>
    </row>
    <row r="11" ht="14.25" customHeight="1">
      <c r="A11" s="136">
        <v>9.0</v>
      </c>
      <c r="B11" s="145" t="s">
        <v>305</v>
      </c>
      <c r="C11" s="170" t="s">
        <v>306</v>
      </c>
      <c r="D11" s="169">
        <v>12.0</v>
      </c>
      <c r="E11" s="63">
        <f t="shared" si="2"/>
        <v>30000</v>
      </c>
      <c r="H11" s="106">
        <v>500.0</v>
      </c>
      <c r="I11" s="106">
        <v>1070.0</v>
      </c>
    </row>
    <row r="12" ht="14.25" customHeight="1">
      <c r="A12" s="136">
        <v>10.0</v>
      </c>
      <c r="B12" s="134" t="s">
        <v>312</v>
      </c>
      <c r="C12" s="135" t="s">
        <v>313</v>
      </c>
      <c r="D12" s="169">
        <v>12.0</v>
      </c>
      <c r="E12" s="63">
        <f t="shared" si="2"/>
        <v>30000</v>
      </c>
      <c r="H12" s="106">
        <v>1500.0</v>
      </c>
      <c r="I12" s="106">
        <v>1315.0</v>
      </c>
    </row>
    <row r="13" ht="14.25" customHeight="1">
      <c r="A13" s="136">
        <v>11.0</v>
      </c>
      <c r="B13" s="134" t="s">
        <v>323</v>
      </c>
      <c r="C13" s="134" t="s">
        <v>324</v>
      </c>
      <c r="D13" s="169">
        <v>12.0</v>
      </c>
      <c r="E13" s="63">
        <f t="shared" si="2"/>
        <v>30000</v>
      </c>
      <c r="H13" s="106">
        <v>500.0</v>
      </c>
      <c r="I13" s="106">
        <v>1990.0</v>
      </c>
    </row>
    <row r="14" ht="14.25" customHeight="1">
      <c r="A14" s="136">
        <v>12.0</v>
      </c>
      <c r="B14" s="134" t="s">
        <v>337</v>
      </c>
      <c r="C14" s="135" t="s">
        <v>338</v>
      </c>
      <c r="D14" s="169">
        <v>12.0</v>
      </c>
      <c r="E14" s="63">
        <f t="shared" si="2"/>
        <v>30000</v>
      </c>
      <c r="H14" s="106">
        <v>1000.0</v>
      </c>
      <c r="I14" s="106">
        <v>2605.0</v>
      </c>
    </row>
    <row r="15" ht="14.25" customHeight="1">
      <c r="A15" s="136">
        <v>13.0</v>
      </c>
      <c r="B15" s="134" t="s">
        <v>401</v>
      </c>
      <c r="C15" s="135" t="s">
        <v>402</v>
      </c>
      <c r="D15" s="169">
        <v>12.0</v>
      </c>
      <c r="E15" s="63">
        <f t="shared" si="2"/>
        <v>30000</v>
      </c>
      <c r="H15" s="106">
        <v>500.0</v>
      </c>
      <c r="I15" s="106">
        <v>1680.0</v>
      </c>
    </row>
    <row r="16" ht="14.25" customHeight="1">
      <c r="A16" s="136">
        <v>14.0</v>
      </c>
      <c r="B16" s="134" t="s">
        <v>413</v>
      </c>
      <c r="C16" s="135" t="s">
        <v>414</v>
      </c>
      <c r="D16" s="169">
        <v>12.0</v>
      </c>
      <c r="E16" s="63">
        <f t="shared" si="2"/>
        <v>30000</v>
      </c>
      <c r="H16" s="106">
        <v>500.0</v>
      </c>
      <c r="I16" s="106">
        <v>640.0</v>
      </c>
    </row>
    <row r="17" ht="14.25" customHeight="1">
      <c r="A17" s="136">
        <v>15.0</v>
      </c>
      <c r="B17" s="134" t="s">
        <v>448</v>
      </c>
      <c r="C17" s="135" t="s">
        <v>449</v>
      </c>
      <c r="D17" s="169">
        <v>12.0</v>
      </c>
      <c r="E17" s="63">
        <f t="shared" si="2"/>
        <v>30000</v>
      </c>
      <c r="H17" s="106">
        <v>1500.0</v>
      </c>
      <c r="I17" s="106">
        <v>2428.0</v>
      </c>
    </row>
    <row r="18" ht="14.25" customHeight="1">
      <c r="A18" s="136">
        <v>16.0</v>
      </c>
      <c r="B18" s="134" t="s">
        <v>463</v>
      </c>
      <c r="C18" s="135" t="s">
        <v>464</v>
      </c>
      <c r="D18" s="169">
        <v>24.0</v>
      </c>
      <c r="E18" s="63">
        <f t="shared" si="2"/>
        <v>60000</v>
      </c>
      <c r="H18" s="106">
        <v>1000.0</v>
      </c>
      <c r="I18" s="106">
        <v>360.0</v>
      </c>
    </row>
    <row r="19" ht="14.25" customHeight="1">
      <c r="A19" s="136">
        <v>17.0</v>
      </c>
      <c r="B19" s="134" t="s">
        <v>494</v>
      </c>
      <c r="C19" s="135" t="s">
        <v>495</v>
      </c>
      <c r="D19" s="169">
        <v>12.0</v>
      </c>
      <c r="E19" s="63">
        <f t="shared" si="2"/>
        <v>30000</v>
      </c>
      <c r="H19" s="106">
        <v>500.0</v>
      </c>
      <c r="I19" s="106">
        <v>190.0</v>
      </c>
    </row>
    <row r="20" ht="14.25" customHeight="1">
      <c r="A20" s="63"/>
      <c r="B20" s="63"/>
      <c r="C20" s="63"/>
      <c r="D20" s="107" t="s">
        <v>630</v>
      </c>
      <c r="E20" s="63">
        <f>SUM(E2:E19)</f>
        <v>546000</v>
      </c>
      <c r="H20" s="106">
        <v>0.0</v>
      </c>
      <c r="I20" s="106">
        <v>2000.0</v>
      </c>
    </row>
    <row r="21" ht="14.25" customHeight="1">
      <c r="H21" s="106">
        <v>20000.0</v>
      </c>
      <c r="I21" s="106">
        <v>500.0</v>
      </c>
    </row>
    <row r="22" ht="14.25" customHeight="1">
      <c r="I22" s="106">
        <v>400.0</v>
      </c>
    </row>
    <row r="23" ht="14.25" customHeight="1">
      <c r="I23" s="106">
        <v>750.0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mergeCells count="1">
    <mergeCell ref="B1:D1"/>
  </mergeCells>
  <printOptions/>
  <pageMargins bottom="0.75" footer="0.0" header="0.0" left="0.7" right="0.7" top="0.75"/>
  <pageSetup scale="12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2025-08-11T18:11:42Z</dcterms:created>
  <dc:creator>Naman Homes</dc:creator>
</cp:coreProperties>
</file>